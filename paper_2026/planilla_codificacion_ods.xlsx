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drawing3.xml" ContentType="application/vnd.openxmlformats-officedocument.drawing+xml"/>
  <Override PartName="/xl/comments6.xml" ContentType="application/vnd.openxmlformats-officedocument.spreadsheetml.comments+xml"/>
  <Override PartName="/xl/charts/chart5.xml" ContentType="application/vnd.openxmlformats-officedocument.drawingml.chart+xml"/>
  <Override PartName="/xl/charts/colors5.xml" ContentType="application/vnd.ms-office.chartcolorstyle+xml"/>
  <Override PartName="/xl/charts/style5.xml" ContentType="application/vnd.ms-office.chartstyle+xml"/>
  <Override PartName="/xl/charts/colors3.xml" ContentType="application/vnd.ms-office.chartcolorstyle+xml"/>
  <Override PartName="/xl/charts/style1.xml" ContentType="application/vnd.ms-office.chart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4.xml" ContentType="application/vnd.openxmlformats-officedocument.drawingml.chart+xml"/>
  <Override PartName="/xl/comments5.xml" ContentType="application/vnd.openxmlformats-officedocument.spreadsheetml.comments+xml"/>
  <Override PartName="/xl/theme/theme1.xml" ContentType="application/vnd.openxmlformats-officedocument.theme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tocolo" sheetId="1" state="visible" r:id="rId3"/>
    <sheet name="Graficos_ODS" sheetId="2" state="visible" r:id="rId4"/>
    <sheet name="Registro_sitios" sheetId="3" state="visible" r:id="rId5"/>
    <sheet name="Menciones" sheetId="4" state="visible" r:id="rId6"/>
    <sheet name="Documentos" sheetId="5" state="visible" r:id="rId7"/>
    <sheet name="Resumen_GORE" sheetId="6" state="visible" r:id="rId8"/>
    <sheet name="Verificacion" sheetId="7" state="visible" r:id="rId9"/>
    <sheet name="Mapa_17_ODS" sheetId="8" state="visible" r:id="rId10"/>
    <sheet name="Verificacion_Mapa" sheetId="9" state="visible" r:id="rId11"/>
    <sheet name="Cambios_2026-09-29" sheetId="10" state="visible" r:id="rId12"/>
    <sheet name="Cambios_2026-10-07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12" authorId="0">
      <text>
        <r>
          <rPr>
            <sz val="10"/>
            <rFont val="Arial"/>
            <family val="2"/>
          </rPr>
          <t xml:space="preserve">29-09-2026: antes «Figura 6. N.º de ERD que vinculan cada ODS (de 12 disponibles)». Todas las ERD quedaron disponibles tras la búsqueda dirigida.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29-09-2026: antes «6.0».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29-09-2026: antes «0.0».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29-09-2026: antes «2.0». Fórmula.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29-09-2026: antes «3.0».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3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4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5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29-09-2026: antes «5.0».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29-09-2026: antes «4.0».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29-09-2026: antes «2.0».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29-09-2026: antes «1.0».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29-09-2026: antes «11.0». Fórmula.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29-09-2026: antes «1.0».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29-09-2026: antes «1.0».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29-09-2026: antes «1.0».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29-09-2026: antes «1.0».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29-09-2026: antes «1.0».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C30" authorId="0">
      <text>
        <r>
          <rPr>
            <sz val="10"/>
            <rFont val="Arial"/>
            <family val="2"/>
          </rPr>
          <t xml:space="preserve">29-09-2026: antes «0.0». Fórmula enlazada al mapa.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D6" authorId="0">
      <text>
        <r>
          <rPr>
            <sz val="10"/>
            <rFont val="Arial"/>
            <family val="2"/>
          </rPr>
          <t xml:space="preserve">29-09-2026: antes «4.0».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29-09-2026: antes «12.0».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29-09-2026: antes «3.0». Fórmula.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E6" authorId="0">
      <text>
        <r>
          <rPr>
            <sz val="10"/>
            <rFont val="Arial"/>
            <family val="2"/>
          </rPr>
          <t xml:space="preserve">29-09-2026: antes «4.0».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29-09-2026: antes «3.0». Ahora con fórmula enlazada a Resumen_GORE.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29-09-2026: antes «0.0». Sin cambio de valor.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-29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Revisión</author>
    <author>Unknown Author</author>
  </authors>
  <commentList>
    <comment ref="C6" authorId="1">
      <text>
        <r>
          <rPr>
            <sz val="10"/>
            <rFont val="Arial"/>
            <family val="2"/>
          </rPr>
          <t xml:space="preserve">29-09-2026: antes «No localizada en el sitio web (búsqueda interna «estrategia» y secciones de planificación)».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C20" authorId="1">
      <text>
        <r>
          <rPr>
            <sz val="10"/>
            <rFont val="Arial"/>
            <family val="2"/>
          </rPr>
          <t xml:space="preserve">29-09-2026: antes «No disponible como documento: la página «Estrategia Regional de Desarrollo» está vacía y solo se ofrece un archivo comprimido (estrategias_regionales.zip)».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C25" authorId="1">
      <text>
        <r>
          <rPr>
            <sz val="10"/>
            <rFont val="Arial"/>
            <family val="2"/>
          </rPr>
          <t xml:space="preserve">29-09-2026: antes «Cuenta Pública 2026 (Sesión extraordinaria N.° 4-2026 del CORE): solo video en YouTube».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07-10-2026: antes «Cuenta Pública La Araucanía 2024 (la de 2025 existe solo en video)». Cuenta pública 2025 hallada en un visor embebido (Heyzine) en gorearaucania.cl/cuentas-publicas.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C31" authorId="1">
      <text>
        <r>
          <rPr>
            <sz val="10"/>
            <rFont val="Arial"/>
            <family val="2"/>
          </rPr>
          <t xml:space="preserve">29-09-2026: antes «ERD no publicada en el sitio (en elaboración; CORE aprobó programa de participación el 28-07-2026)».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C35" authorId="1">
      <text>
        <r>
          <rPr>
            <sz val="10"/>
            <rFont val="Arial"/>
            <family val="2"/>
          </rPr>
          <t xml:space="preserve">29-09-2026: antes «ERD no localizada en el sitio (Documentación de interés, buscador, historial)».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D28" authorId="0">
      <text>
        <r>
          <rPr>
            <sz val="10"/>
            <rFont val="Arial"/>
            <family val="2"/>
          </rPr>
          <t xml:space="preserve">07-10-2026: antes «https://gorearaucania.cl/noticias/2026-05-28/gobernador-rene-saffirio-destaca-ejecucion-historica-del-96-y-transparencia-institucional-en-su-cuenta-publica». Cuenta pública 2025 hallada en un visor embebido (Heyzine) en gorearaucania.cl/cuentas-publicas.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E28" authorId="0">
      <text>
        <r>
          <rPr>
            <sz val="10"/>
            <rFont val="Arial"/>
            <family val="2"/>
          </rPr>
          <t xml:space="preserve">07-10-2026: antes «None». Conteo del PDF original.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F28" authorId="0">
      <text>
        <r>
          <rPr>
            <sz val="10"/>
            <rFont val="Arial"/>
            <family val="2"/>
          </rPr>
          <t xml:space="preserve">07-10-2026: antes «None». Conteo del PDF original.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H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I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J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K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L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M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N28" authorId="0">
      <text>
        <r>
          <rPr>
            <sz val="10"/>
            <rFont val="Arial"/>
            <family val="2"/>
          </rPr>
          <t xml:space="preserve">07-10-2026: antes «None». Conteo por término (ods_terminos.py).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6" authorId="1">
      <text>
        <r>
          <rPr>
            <sz val="10"/>
            <rFont val="Arial"/>
            <family val="2"/>
          </rPr>
          <t xml:space="preserve">29-09-2026: antes «No disponible». Clasificación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20" authorId="1">
      <text>
        <r>
          <rPr>
            <sz val="10"/>
            <rFont val="Arial"/>
            <family val="2"/>
          </rPr>
          <t xml:space="preserve">29-09-2026: antes «No disponible». Clasificación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25" authorId="1">
      <text>
        <r>
          <rPr>
            <sz val="10"/>
            <rFont val="Arial"/>
            <family val="2"/>
          </rPr>
          <t xml:space="preserve">29-09-2026: antes «No disponible». Clasificación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28" authorId="0">
      <text>
        <r>
          <rPr>
            <sz val="10"/>
            <rFont val="Arial"/>
            <family val="2"/>
          </rPr>
          <t xml:space="preserve">07-10-2026: antes «No disponible». Cuenta pública 2025 hallada en un visor embebido (Heyzine) en gorearaucania.cl/cuentas-publicas. Sin términos ODS núcleo.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31" authorId="1">
      <text>
        <r>
          <rPr>
            <sz val="10"/>
            <rFont val="Arial"/>
            <family val="2"/>
          </rPr>
          <t xml:space="preserve">29-09-2026: antes «No disponible». Clasificación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O35" authorId="1">
      <text>
        <r>
          <rPr>
            <sz val="10"/>
            <rFont val="Arial"/>
            <family val="2"/>
          </rPr>
          <t xml:space="preserve">29-09-2026: antes «No disponible». Clasificación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6" authorId="1">
      <text>
        <r>
          <rPr>
            <sz val="10"/>
            <rFont val="Arial"/>
            <family val="2"/>
          </rPr>
          <t xml:space="preserve">29-09-2026: antes «Barrera de acceso: la ERD vigente no está publicada o no es localizable desde el sitio.».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20" authorId="1">
      <text>
        <r>
          <rPr>
            <sz val="10"/>
            <rFont val="Arial"/>
            <family val="2"/>
          </rPr>
          <t xml:space="preserve">29-09-2026: antes «Barrera de acceso: sin versión consultable en línea.».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25" authorId="1">
      <text>
        <r>
          <rPr>
            <sz val="10"/>
            <rFont val="Arial"/>
            <family val="2"/>
          </rPr>
          <t xml:space="preserve">29-09-2026: antes «Sin documento descargable de la cuenta 2026 (solo video: youtube.com/watch?v=p4m4SXZs8Zc). La presentación 2025 en PDF fue identificada por el cod. 1 pero no pudo procesarse (bloqueo CSP) y no fue hallada por la cod. 2 (24-09-2026). Barrera de acceso.».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28" authorId="0">
      <text>
        <r>
          <rPr>
            <sz val="10"/>
            <rFont val="Arial"/>
            <family val="2"/>
          </rPr>
          <t xml:space="preserve">07-10-2026: antes «Revisión 29-09: la cuenta pública no se encontró como documento descargable.».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31" authorId="1">
      <text>
        <r>
          <rPr>
            <sz val="10"/>
            <rFont val="Arial"/>
            <family val="2"/>
          </rPr>
          <t xml:space="preserve">29-09-2026: antes «Barrera de acceso: sin ERD vigente descargable en el sitio.».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P35" authorId="1">
      <text>
        <r>
          <rPr>
            <sz val="10"/>
            <rFont val="Arial"/>
            <family val="2"/>
          </rPr>
          <t xml:space="preserve">29-09-2026: antes «Barrera de acceso.». Nota actualizada.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  <comment ref="Q28" authorId="0">
      <text>
        <r>
          <rPr>
            <sz val="10"/>
            <rFont val="Arial"/>
            <family val="2"/>
          </rPr>
          <t xml:space="preserve">07-10-2026: antes «2026-09-28». Fecha de la revisión.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90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Revisión</author>
    <author>Unknown Author</author>
  </authors>
  <commentList>
    <comment ref="E15" authorId="1">
      <text>
        <r>
          <rPr>
            <sz val="10"/>
            <rFont val="Arial"/>
            <family val="2"/>
          </rPr>
          <t xml:space="preserve">29-09-2026: antes «No disponible». Cuenta pública de Biobío hallada (presentación enlazada desde un banner); sin menciones. Pendiente revisión visual (mayormente imagen).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E16" authorId="0">
      <text>
        <r>
          <rPr>
            <sz val="10"/>
            <rFont val="Arial"/>
            <family val="2"/>
          </rPr>
          <t xml:space="preserve">07-10-2026: antes «No disponible». Cuenta pública 2025 hallada en un visor embebido (Heyzine) en gorearaucania.cl/cuentas-publicas.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E21" authorId="1">
      <text>
        <r>
          <rPr>
            <sz val="10"/>
            <rFont val="Arial"/>
            <family val="2"/>
          </rPr>
          <t xml:space="preserve">29-09-2026: antes «=COUNTIF(E5:E20,"Sustantiva")&amp;" sust. · "&amp;COUNTIF(E5:E20,"Retórica")&amp;" ret."». Total actualizado (15 cuentas públicas disponibles).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F5" authorId="1">
      <text>
        <r>
          <rPr>
            <sz val="10"/>
            <rFont val="Arial"/>
            <family val="2"/>
          </rPr>
          <t xml:space="preserve">29-09-2026: antes «No disponible». ERD de Arica y Parinacota 2017-2030 hallada en el sitio web anterior del GORE; vincula los 17 ODS (peldaño 2).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F12" authorId="1">
      <text>
        <r>
          <rPr>
            <sz val="10"/>
            <rFont val="Arial"/>
            <family val="2"/>
          </rPr>
          <t xml:space="preserve">29-09-2026: antes «No disponible». ERD de O'Higgins hallada en una ruta no enlazada; sin términos ODS.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F17" authorId="1">
      <text>
        <r>
          <rPr>
            <sz val="10"/>
            <rFont val="Arial"/>
            <family val="2"/>
          </rPr>
          <t xml:space="preserve">29-09-2026: antes «No disponible». ERD de Los Ríos 2023-2037 hallada en erdlosrios.cl; solo nombra los ODS en una cita de la UNESCO (p. 84): declarativa.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F19" authorId="1">
      <text>
        <r>
          <rPr>
            <sz val="10"/>
            <rFont val="Arial"/>
            <family val="2"/>
          </rPr>
          <t xml:space="preserve">29-09-2026: antes «No disponible». ERD de Aysén hallada en «Documentación de interés»; sin términos ODS.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  <comment ref="F21" authorId="1">
      <text>
        <r>
          <rPr>
            <sz val="10"/>
            <rFont val="Arial"/>
            <family val="2"/>
          </rPr>
          <t xml:space="preserve">29-09-2026: antes «=COUNTIF(F5:F20,"Sustantiva")&amp;" sust. · "&amp;COUNTIF(F5:F20,"Retórica")&amp;" ret."». Total actualizado (16 ERD disponibles).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75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comments8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29-09-2026: antes «ERD no localizada».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29-09-2026: antes «ERD solo en .zip».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29-09-2026: antes «ERD en elaboración».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29-09-2026: antes «ERD no localizada». Documento incorporado en la búsqueda dirigida del 28-09-2026 (fuera de las páginas institucionales), como informa 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29-09-2026: antes «No disponible». Peldaño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29-09-2026: antes «No disponible». Peldaño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29-09-2026: antes «No disponible». Peldaño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29-09-2026: antes «No disponible». Peldaño según el paper VFinal (Tabla 5).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X6" authorId="0">
      <text>
        <r>
          <rPr>
            <sz val="10"/>
            <rFont val="Arial"/>
            <family val="2"/>
          </rPr>
          <t xml:space="preserve">29-09-2026: antes «Sin documento publicado.». Evidencia del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X13" authorId="0">
      <text>
        <r>
          <rPr>
            <sz val="10"/>
            <rFont val="Arial"/>
            <family val="2"/>
          </rPr>
          <t xml:space="preserve">29-09-2026: antes «Sin versión consultable en línea.». Evidencia del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X18" authorId="0">
      <text>
        <r>
          <rPr>
            <sz val="10"/>
            <rFont val="Arial"/>
            <family val="2"/>
          </rPr>
          <t xml:space="preserve">29-09-2026: antes «Sin ERD vigente publicada.». Evidencia del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  <comment ref="X20" authorId="0">
      <text>
        <r>
          <rPr>
            <sz val="10"/>
            <rFont val="Arial"/>
            <family val="2"/>
          </rPr>
          <t xml:space="preserve">29-09-2026: antes «Sin documento publicado.». Evidencia del paper VFinal.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105</xdr:colOff>
                <xdr:row>3</xdr:row>
                <xdr:rowOff>3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<sst xmlns="http://schemas.openxmlformats.org/spreadsheetml/2006/main" count="3015" uniqueCount="799">
  <si>
    <t xml:space="preserve">Planilla de conteos ODS — GORE de Chile (mejora M2: búsqueda ODS reproducible)</t>
  </si>
  <si>
    <t xml:space="preserve">Primera codificación: 2026-09-23. Codificador: Claude (asistente IA) – 1.ª codificación. Una segunda persona debe repetir la muestra de la hoja «Verificacion».</t>
  </si>
  <si>
    <t xml:space="preserve">Elemento</t>
  </si>
  <si>
    <t xml:space="preserve">Definición / regla</t>
  </si>
  <si>
    <t xml:space="preserve">Objetivo</t>
  </si>
  <si>
    <t xml:space="preserve">Medir de forma reproducible si los 16 GORE mencionan los ODS en su comunicación y planificación, y si esas menciones son retóricas o sustantivas.</t>
  </si>
  <si>
    <t xml:space="preserve">Ventana de búsqueda</t>
  </si>
  <si>
    <t xml:space="preserve">Todas las búsquedas se hicieron el 2026-09-23 (una sola jornada). Se cuentan todos los resultados indexados a esa fecha, sin filtro de años.</t>
  </si>
  <si>
    <t xml:space="preserve">Términos (lista base ampliada)</t>
  </si>
  <si>
    <t xml:space="preserve">«ODS» · «Objetivos de Desarrollo Sostenible» · «Agenda 2030» · «ODS 16» (términos núcleo) + «desarrollo sostenible» · «sostenibilidad» · «Naciones Unidas» (términos de contexto).</t>
  </si>
  <si>
    <t xml:space="preserve">Regla de coincidencia</t>
  </si>
  <si>
    <t xml:space="preserve">Se verifica cada resultado buscando el término exacto en el texto (regex): ODS = \bODS\b (mayúsculas); Objetivo(s)… admite singular o plural (enmienda 24-09-2026), «de/del» y «sostenible/sustentable»; ODS 16 admite «ODS16», «ODS N° 16». Solo los términos núcleo se codifican como menciones.</t>
  </si>
  <si>
    <t xml:space="preserve">Fuente 1: sitio web</t>
  </si>
  <si>
    <t xml:space="preserve">Buscador interno del sitio oficial (método por CMS en «Registro_sitios»). Si el buscador no existe o no filtra, se recorren todas las noticias publicadas (Valparaíso, Los Lagos) o se usa la API de WordPress (Tarapacá).</t>
  </si>
  <si>
    <t xml:space="preserve">Fuente 2: última cuenta pública</t>
  </si>
  <si>
    <t xml:space="preserve">Documento PDF de la cuenta pública más reciente publicado en el sitio. Si solo existe video, se registra como «No disponible».</t>
  </si>
  <si>
    <t xml:space="preserve">Fuente 3: ERD</t>
  </si>
  <si>
    <t xml:space="preserve">Estrategia Regional de Desarrollo vigente publicada en el sitio (o la última disponible si no hay vigente).</t>
  </si>
  <si>
    <t xml:space="preserve">Lectura de PDF</t>
  </si>
  <si>
    <t xml:space="preserve">Extracción de texto página a página (pdf.js 4.0.379 en el navegador o pdftotext); se registra n.º de páginas y caracteres. Menos de ~300 caracteres/página indica documento en imágenes → «lectura parcial».</t>
  </si>
  <si>
    <t xml:space="preserve">Unidad de codificación</t>
  </si>
  <si>
    <t xml:space="preserve">Sitio web: cada noticia/página con al menos un término núcleo verificado. Documentos: cada pasaje (página) con término núcleo; el documento se clasifica por su pasaje de mayor nivel.</t>
  </si>
  <si>
    <t xml:space="preserve">Retórica</t>
  </si>
  <si>
    <t xml:space="preserve">Solo menciona los ODS/Agenda 2030 (contexto, discurso, evento, cita) sin vincularlos a objetivos, metas, indicadores o presupuesto del GORE.</t>
  </si>
  <si>
    <t xml:space="preserve">Sustantiva</t>
  </si>
  <si>
    <t xml:space="preserve">Vincula ODS o metas ODS específicas con objetivos/lineamientos del GORE, indicadores o financiamiento (p. ej., cada eje de la ERD declara los ODS a los que contribuye; programa financiado por el Joint SDG Fund).</t>
  </si>
  <si>
    <t xml:space="preserve">Registro obligatorio</t>
  </si>
  <si>
    <t xml:space="preserve">GORE · fuente · término · n.º de resultados devueltos · n.º verificados · URL · fecha · codificador.</t>
  </si>
  <si>
    <t xml:space="preserve">Reproducibilidad</t>
  </si>
  <si>
    <t xml:space="preserve">Otra persona repite la muestra de «Verificacion» con este protocolo, registra sus conteos y tipos en las columnas amarillas y la planilla calcula el acuerdo. Criterio de aceptación: ≥ 90 % de conteos idénticos (±1) y κ ≥ 0,70 en el tipo.</t>
  </si>
  <si>
    <t xml:space="preserve">Limitaciones conocidas</t>
  </si>
  <si>
    <t xml:space="preserve">(1) Los buscadores difieren entre CMS (algunos buscan en título, otros en texto completo). (2) La regla ODS se amplió a «del/sustentable» durante la corrida; Biobío, Maule, RM, Atacama, Aysén, Ñuble y Los Ríos se hicieron con la regla anterior (se recomienda repetirlos en la verificación). (3) PDF en imágenes (Aysén, Magallanes). (4) Documentos no localizados o no procesables (ver «Documentos»).</t>
  </si>
  <si>
    <t xml:space="preserve">Gráficos de los resultados ODS (Figuras 4 a 6 del paper y figura complementaria)</t>
  </si>
  <si>
    <t xml:space="preserve">Tablas con los datos de cada gráfico (izquierda), gráficos nativos editables (centro) e imágenes del paper (derecha). Fuente: hojas Menciones, Documentos y Mapa_17_ODS.</t>
  </si>
  <si>
    <t xml:space="preserve">Figura 4. Vinculación con los ODS por fuente (n.º de GORE)</t>
  </si>
  <si>
    <t xml:space="preserve">Fuente</t>
  </si>
  <si>
    <t xml:space="preserve">Sin mención</t>
  </si>
  <si>
    <t xml:space="preserve">No disponible</t>
  </si>
  <si>
    <t xml:space="preserve">ERD (planificación)</t>
  </si>
  <si>
    <t xml:space="preserve">Cuenta pública (rendición de cuentas)</t>
  </si>
  <si>
    <t xml:space="preserve">Sitio web (comunicación)</t>
  </si>
  <si>
    <t xml:space="preserve">Figura 6. N.º de ERD que vinculan cada ODS (de 16)</t>
  </si>
  <si>
    <t xml:space="preserve">ODS</t>
  </si>
  <si>
    <t xml:space="preserve">Vinculado a eje, objetivo o indicador</t>
  </si>
  <si>
    <t xml:space="preserve">Nombrado como contexto</t>
  </si>
  <si>
    <t xml:space="preserve">Total</t>
  </si>
  <si>
    <t xml:space="preserve">ODS 1</t>
  </si>
  <si>
    <t xml:space="preserve">ODS 2</t>
  </si>
  <si>
    <t xml:space="preserve">ODS 3</t>
  </si>
  <si>
    <t xml:space="preserve">ODS 4</t>
  </si>
  <si>
    <t xml:space="preserve">ODS 5</t>
  </si>
  <si>
    <t xml:space="preserve">ODS 6</t>
  </si>
  <si>
    <t xml:space="preserve">ODS 7</t>
  </si>
  <si>
    <t xml:space="preserve">ODS 8</t>
  </si>
  <si>
    <t xml:space="preserve">ODS 9</t>
  </si>
  <si>
    <t xml:space="preserve">ODS 10</t>
  </si>
  <si>
    <t xml:space="preserve">ODS 11</t>
  </si>
  <si>
    <t xml:space="preserve">ODS 12</t>
  </si>
  <si>
    <t xml:space="preserve">ODS 13</t>
  </si>
  <si>
    <t xml:space="preserve">ODS 14</t>
  </si>
  <si>
    <t xml:space="preserve">ODS 15</t>
  </si>
  <si>
    <t xml:space="preserve">ODS 16</t>
  </si>
  <si>
    <t xml:space="preserve">ODS 17</t>
  </si>
  <si>
    <t xml:space="preserve">Figura complementaria A1. Menciones ODS en el sitio web por GORE (23-09-2026)</t>
  </si>
  <si>
    <t xml:space="preserve">GORE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</si>
  <si>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</si>
  <si>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</si>
  <si>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</si>
  <si>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</si>
  <si>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</si>
  <si>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</si>
  <si>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</si>
  <si>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</si>
  <si>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</si>
  <si>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</si>
  <si>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</si>
  <si>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</si>
  <si>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</si>
  <si>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</si>
  <si>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</si>
  <si>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</si>
  <si>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Figura 5 (mapa ERD × 17 ODS): ver la imagen a la derecha y la hoja Mapa_17_ODS, que tiene la matriz con colores.</t>
  </si>
  <si>
    <t xml:space="preserve">Registro de búsqueda en sitios web (fuente 1)</t>
  </si>
  <si>
    <t xml:space="preserve">Devueltos = resultados que entrega el buscador; Verificados = resultados que contienen el término exacto. «n/a» = recorrido completo sin buscador.</t>
  </si>
  <si>
    <t xml:space="preserve">Sitio</t>
  </si>
  <si>
    <t xml:space="preserve">Método de búsqueda</t>
  </si>
  <si>
    <t xml:space="preserve">Término</t>
  </si>
  <si>
    <t xml:space="preserve">Tipo de término</t>
  </si>
  <si>
    <t xml:space="preserve">N.º devueltos</t>
  </si>
  <si>
    <t xml:space="preserve">N.º verificados</t>
  </si>
  <si>
    <t xml:space="preserve">Fecha</t>
  </si>
  <si>
    <t xml:space="preserve">Codificador</t>
  </si>
  <si>
    <t xml:space="preserve">Nota</t>
  </si>
  <si>
    <t xml:space="preserve">https://www.gorearicayparinacota.cl</t>
  </si>
  <si>
    <t xml:space="preserve">https://www.gorearicayparinacota.cl/cgi-bin/prontus_search.cgi?search_prontus=goreayp&amp;search_texto={termino}&amp;search_modo=and (Prontus)</t>
  </si>
  <si>
    <t xml:space="preserve">Núcleo</t>
  </si>
  <si>
    <t xml:space="preserve">2026-09-23</t>
  </si>
  <si>
    <t xml:space="preserve">scraping e IA</t>
  </si>
  <si>
    <t xml:space="preserve">El índice del buscador es pequeño (p. ej., «desarrollo» devuelve 32 resultados, casi todos de 2026), lo que sugiere un sitio renovado con poco contenido histórico indexado.</t>
  </si>
  <si>
    <t xml:space="preserve">Objetivos de Desarrollo Sostenible</t>
  </si>
  <si>
    <t xml:space="preserve">Agenda 2030</t>
  </si>
  <si>
    <t xml:space="preserve">desarrollo sostenible</t>
  </si>
  <si>
    <t xml:space="preserve">Contexto</t>
  </si>
  <si>
    <t xml:space="preserve">sostenibilidad</t>
  </si>
  <si>
    <t xml:space="preserve">Naciones Unidas</t>
  </si>
  <si>
    <t xml:space="preserve">https://www.goretarapaca.gov.cl</t>
  </si>
  <si>
    <t xml:space="preserve">El buscador visible (?s=) no filtra: devuelve todas las publicaciones (368 páginas). Se usó la API de búsqueda del propio sitio: /wp-json/wp/v2/{posts,pages}?search={termino}.</t>
  </si>
  <si>
    <t xml:space="preserve">https://goreantofagasta.cl</t>
  </si>
  <si>
    <t xml:space="preserve">https://goreantofagasta.cl/cgi-bin/prontus_search.cgi?search_prontus=goreantofagasta&amp;search_texto={termino}&amp;search_modo=and (Prontus)</t>
  </si>
  <si>
    <t xml:space="preserve">https://goreatacama.gob.cl</t>
  </si>
  <si>
    <t xml:space="preserve">https://goreatacama.gob.cl/?s={termino} (WordPress, paginado /page/N/)</t>
  </si>
  <si>
    <t xml:space="preserve">https://www.gorecoquimbo.cl</t>
  </si>
  <si>
    <t xml:space="preserve">https://www.gorecoquimbo.cl/cgi-bin/prontus_search.cgi?search_prontus=gore&amp;search_texto={termino}&amp;search_modo=and&amp;search_pag=N (Prontus; «Resultados X al Y de N»)</t>
  </si>
  <si>
    <t xml:space="preserve">El buscador Prontus usa modo «y» (todas las palabras), por lo que devuelve páginas que contienen las palabras por separado; la verificación exige la frase exacta. Con consultas rápidas el buscador truncó resultados; se repitió con 0,5–0,7 s entre solicitudes.</t>
  </si>
  <si>
    <t xml:space="preserve">https://www.gobiernovalparaiso.cl</t>
  </si>
  <si>
    <t xml:space="preserve">Sin buscador interno funcional: se recorrió el 100 % de las noticias publicadas (detalleNoticia.php?idNot=1…850, identificador en base64).</t>
  </si>
  <si>
    <t xml:space="preserve">n/a</t>
  </si>
  <si>
    <t xml:space="preserve">https://www.gobiernosantiago.cl</t>
  </si>
  <si>
    <t xml:space="preserve">https://www.gobiernosantiago.cl/?s={termino} (WordPress, paginado /page/N/)</t>
  </si>
  <si>
    <t xml:space="preserve">https://www.goreohiggins.cl</t>
  </si>
  <si>
    <t xml:space="preserve">https://www.goreohiggins.cl/component/search/?searchword={termino}&amp;searchphrase=exact&amp;limit=200 (Joomla com_search, frase exacta)</t>
  </si>
  <si>
    <t xml:space="preserve">https://www.goremaule.cl/goremauleVII/</t>
  </si>
  <si>
    <t xml:space="preserve">https://www.goremaule.cl/goremauleVII/?s={termino} (WordPress, paginado /page/N/)</t>
  </si>
  <si>
    <t xml:space="preserve">https://goredenuble.cl</t>
  </si>
  <si>
    <t xml:space="preserve">https://goredenuble.cl/?s={termino} (WordPress, paginado /page/N/)</t>
  </si>
  <si>
    <t xml:space="preserve">https://gorebiobio.cl</t>
  </si>
  <si>
    <t xml:space="preserve">https://gorebiobio.cl/?s={termino} (WordPress, paginado /page/N/)</t>
  </si>
  <si>
    <t xml:space="preserve">Conteo «Objetivos de DS» corregido a 2 en la verificación (24-09-2026): la regla inicial no aceptaba «del».</t>
  </si>
  <si>
    <t xml:space="preserve">https://gorearaucania.cl</t>
  </si>
  <si>
    <t xml:space="preserve">https://gorearaucania.cl/buscador-del-sitio?query={termino} (buscador propio; «Resultados encontrados: N»)</t>
  </si>
  <si>
    <t xml:space="preserve">«desarrollo sostenible»: el buscador informa 19 resultados, pero la página lista 10; se verificaron los 10 listados.</t>
  </si>
  <si>
    <t xml:space="preserve">https://www.goredelosrios.cl</t>
  </si>
  <si>
    <t xml:space="preserve">https://www.goredelosrios.cl/index.php/?s={termino} (WordPress, paginado /index.php/page/N/)</t>
  </si>
  <si>
    <t xml:space="preserve">https://goreloslagos.cl</t>
  </si>
  <si>
    <t xml:space="preserve">Sin buscador interno: se recorrió el 100 % de las noticias listadas en /prensa-noticias (197 noticias, 07-01-2025 a 21-09-2026).</t>
  </si>
  <si>
    <t xml:space="preserve">https://www.goreaysen.cl</t>
  </si>
  <si>
    <t xml:space="preserve">https://www.goreaysen.cl/?s={termino} (WordPress, paginado /page/N/)</t>
  </si>
  <si>
    <t xml:space="preserve">https://www.goremagallanes.cl</t>
  </si>
  <si>
    <t xml:space="preserve">https://www.goremagallanes.cl/?s={termino} (WordPress); conteos con la API del sitio /wp-json/wp/v2/{posts,pages,lsvr_document,lsvr_event,lsvr_notice}?search={termino}</t>
  </si>
  <si>
    <t xml:space="preserve">Menciones codificadas (términos núcleo verificados)</t>
  </si>
  <si>
    <t xml:space="preserve">Columnas amarillas: para la segunda persona. «Acuerdo» se calcula solo cuando hay segunda codificación.</t>
  </si>
  <si>
    <t xml:space="preserve">ID</t>
  </si>
  <si>
    <t xml:space="preserve">Fecha / página</t>
  </si>
  <si>
    <t xml:space="preserve">Título o documento</t>
  </si>
  <si>
    <t xml:space="preserve">URL</t>
  </si>
  <si>
    <t xml:space="preserve">Términos</t>
  </si>
  <si>
    <t xml:space="preserve">Tipo (codificador 1)</t>
  </si>
  <si>
    <t xml:space="preserve">Justificación</t>
  </si>
  <si>
    <t xml:space="preserve">Tipo (codificador 2)</t>
  </si>
  <si>
    <t xml:space="preserve">Acuerdo</t>
  </si>
  <si>
    <t xml:space="preserve">Consenso final</t>
  </si>
  <si>
    <t xml:space="preserve">W01</t>
  </si>
  <si>
    <t xml:space="preserve">Sitio web</t>
  </si>
  <si>
    <t xml:space="preserve">2017-05-01</t>
  </si>
  <si>
    <t xml:space="preserve">INJUV te invita a participar del programa de voluntariado internacional de la Alianza del Pacífico</t>
  </si>
  <si>
    <t xml:space="preserve">https://www.goretarapaca.gov.cl/injuv-te-invita-a-participar-del-programa-de-voluntariado-internacional-de-la-alianza-del-pacifico/</t>
  </si>
  <si>
    <t xml:space="preserve">Programa del INJUV «en concordancia con el ODS 11»; no es una iniciativa del GORE.</t>
  </si>
  <si>
    <t xml:space="preserve">W02</t>
  </si>
  <si>
    <t xml:space="preserve">2023-02-27</t>
  </si>
  <si>
    <t xml:space="preserve">Comisión de Salud y Medioambiente del Consejo Regional ante proyecto minero Comahue</t>
  </si>
  <si>
    <t xml:space="preserve">https://goreantofagasta.cl/comision-de-salud-y-medioambiente-del-consejo-regional-ante-proyecto/goreantofagasta/2023-02-27/093403.html</t>
  </si>
  <si>
    <t xml:space="preserve">Invoca la Agenda 2030 para justificar el diálogo entre proyectos y comunidades.</t>
  </si>
  <si>
    <t xml:space="preserve">W03</t>
  </si>
  <si>
    <t xml:space="preserve">2019-08-27</t>
  </si>
  <si>
    <t xml:space="preserve">Balance positivo del primer Festival Urbano de Sostenibilidad, Innovación y Territorio</t>
  </si>
  <si>
    <t xml:space="preserve">https://goreatacama.gob.cl/2019/08/27/balance-positivo-del-primer-festival-urbano-de-sostenibilidad-innovacion-y-territorio/</t>
  </si>
  <si>
    <t xml:space="preserve">ODS, Objetivos de Desarrollo Sostenible</t>
  </si>
  <si>
    <t xml:space="preserve">Festival organizado por Corfo, Minvu y Gedes; menciona que las alianzas contribuyen a los ODS.</t>
  </si>
  <si>
    <t xml:space="preserve">W04</t>
  </si>
  <si>
    <t xml:space="preserve">s/f</t>
  </si>
  <si>
    <t xml:space="preserve">Gobernadora realizó cuenta pública sobre Cambio Climático destacando inversión para tomar acciones en esta materia</t>
  </si>
  <si>
    <t xml:space="preserve">https://www.gorecoquimbo.cl/noticias/gobernadora-realizo-cuenta-publica-sobre-cambio-climatico-destacando</t>
  </si>
  <si>
    <t xml:space="preserve">Menciona «avanzar hacia el cumplimiento de los ODS» como propósito general, sin metas ni indicadores.</t>
  </si>
  <si>
    <t xml:space="preserve">W05</t>
  </si>
  <si>
    <t xml:space="preserve">Celebran el Día Mundial del Turismo con un sello inclusivo y sustentable en la Región de Coquimbo</t>
  </si>
  <si>
    <t xml:space="preserve">https://www.gorecoquimbo.cl/noticias/celebran-el-dia-mundial-del-turismo-con-un-sello-inclusivo-y-sustentable-en</t>
  </si>
  <si>
    <t xml:space="preserve">Referencia general a la contribución del turismo a los ODS.</t>
  </si>
  <si>
    <t xml:space="preserve">W06</t>
  </si>
  <si>
    <t xml:space="preserve">Párvulos de Vicuña se manifiestan en «Yo opino, es mi derecho»</t>
  </si>
  <si>
    <t xml:space="preserve">https://www.gorecoquimbo.cl/noticias/parvulos-de-vicuna-se-manifiestan-en-yo-opino-es-mi-derecho</t>
  </si>
  <si>
    <t xml:space="preserve">Programa de participación infantil sobre los 17 ODS (Mideso/PNUD); sin metas del GORE.</t>
  </si>
  <si>
    <t xml:space="preserve">W07</t>
  </si>
  <si>
    <t xml:space="preserve">Comienzan debates de niños y adolescentes en tercera versión de «Yo opino, es mi derecho»</t>
  </si>
  <si>
    <t xml:space="preserve">https://www.gorecoquimbo.cl/noticias/comienzan-debates-de-ninos-y-adolescentes-en-tercera-version-de-yo-opino</t>
  </si>
  <si>
    <t xml:space="preserve">Idem anterior.</t>
  </si>
  <si>
    <t xml:space="preserve">W08</t>
  </si>
  <si>
    <t xml:space="preserve">2025-11-20</t>
  </si>
  <si>
    <t xml:space="preserve">Gobierno Regional aprueba Plan Estratégico para la Gestión Integral de Residuos Sólidos Domiciliarios y Asimilables de la Región de Valparaíso</t>
  </si>
  <si>
    <t xml:space="preserve">https://www.gobiernovalparaiso.cl/detalleNoticia.php?idNot=NzAz</t>
  </si>
  <si>
    <t xml:space="preserve">El plan se declara «en coherencia» con la Agenda 2030 y la ERD 2025-2035; no vincula metas ni indicadores ODS.</t>
  </si>
  <si>
    <t xml:space="preserve">W09</t>
  </si>
  <si>
    <t xml:space="preserve">2025-11-11</t>
  </si>
  <si>
    <t xml:space="preserve">Gobierno Regional de Valparaíso y Cámara Chilena de la Construcción impulsan Consejo Regional de Sostenibilidad e Innovación para la Construcción</t>
  </si>
  <si>
    <t xml:space="preserve">https://www.gobiernovalparaiso.cl/detalleNoticia.php?idNot=Njk5</t>
  </si>
  <si>
    <t xml:space="preserve">«Reafirma su compromiso con los ODS»; declaración general.</t>
  </si>
  <si>
    <t xml:space="preserve">W10</t>
  </si>
  <si>
    <t xml:space="preserve">2025-04-17</t>
  </si>
  <si>
    <t xml:space="preserve">Finaliza agenda de trabajo de la delegación chilena en la ONU relacionada con la postulación de Valparaíso como sede del BBNJ</t>
  </si>
  <si>
    <t xml:space="preserve">https://www.gobiernovalparaiso.cl/detalleNoticia.php?idNot=NTk0</t>
  </si>
  <si>
    <t xml:space="preserve">Referencia a la Agenda 2030 en actividad internacional.</t>
  </si>
  <si>
    <t xml:space="preserve">W11</t>
  </si>
  <si>
    <t xml:space="preserve">2023-08-02</t>
  </si>
  <si>
    <t xml:space="preserve">Gobernador Rodrigo Mundaca asume presidencia interina del Comité de Gestión Reserva de la Biósfera La Campana-Peñuelas</t>
  </si>
  <si>
    <t xml:space="preserve">https://www.gobiernovalparaiso.cl/detalleNoticia.php?idNot=MzQ5</t>
  </si>
  <si>
    <t xml:space="preserve">Mención genérica a «la mirada de la sostenibilidad y los ODS».</t>
  </si>
  <si>
    <t xml:space="preserve">W12</t>
  </si>
  <si>
    <t xml:space="preserve">2023-07-24</t>
  </si>
  <si>
    <t xml:space="preserve">Gobernador Rodrigo Mundaca visita sitios patrimoniales y se reúne con la comunidad de Rapa Nui</t>
  </si>
  <si>
    <t xml:space="preserve">https://www.gobiernovalparaiso.cl/detalleNoticia.php?idNot=MzQy</t>
  </si>
  <si>
    <t xml:space="preserve">Cita del gobernador que enumera temas, entre ellos «objetivos de desarrollo sostenible».</t>
  </si>
  <si>
    <t xml:space="preserve">W13</t>
  </si>
  <si>
    <t xml:space="preserve">2023-06-28</t>
  </si>
  <si>
    <t xml:space="preserve">Gobernador Rodrigo Mundaca participa en IV Foro Mundial «Ciudades y Territorios de Paz» en Bogotá</t>
  </si>
  <si>
    <t xml:space="preserve">https://www.gobiernovalparaiso.cl/detalleNoticia.php?idNot=MzI1</t>
  </si>
  <si>
    <t xml:space="preserve">Participación en foro internacional sobre ODS y justicia ambiental.</t>
  </si>
  <si>
    <t xml:space="preserve">W14</t>
  </si>
  <si>
    <t xml:space="preserve">2023-03-21</t>
  </si>
  <si>
    <t xml:space="preserve">Gobernador Rodrigo Mundaca se reúne con Secretario General de Naciones Unidas ad portas de conferencia mundial sobre agua</t>
  </si>
  <si>
    <t xml:space="preserve">https://www.gobiernovalparaiso.cl/detalleNoticia.php?idNot=MjY3</t>
  </si>
  <si>
    <t xml:space="preserve">Nombra el ODS 6 en el contexto de una reunión; sin metas ni indicadores regionales. Contiene «Objetivo de Desarrollo Sostenible (ODS) 6» en singular (detectado en la verificación, 24-09-2026).</t>
  </si>
  <si>
    <t xml:space="preserve">W15</t>
  </si>
  <si>
    <t xml:space="preserve">2022-08-17</t>
  </si>
  <si>
    <t xml:space="preserve">Gobernador Claudio Orrego apela a la conciencia ciudadana y a una mejor gobernanza para combatir la crisis hídrica en la RM</t>
  </si>
  <si>
    <t xml:space="preserve">https://www.gobiernosantiago.cl/2022/08/17/gobernador-claudio-orrego-apela-a-la-conciencia-ciudadana-y-a-una-mejor-gobernanza-para-combatir-la-crisis-hidrica-en-la-rm/</t>
  </si>
  <si>
    <t xml:space="preserve">ODS, Objetivos de Desarrollo Sostenible, Agenda 2030</t>
  </si>
  <si>
    <t xml:space="preserve">Seminario sobre escasez hídrica «tomando como base» los ODS; sin metas ni indicadores del GORE.</t>
  </si>
  <si>
    <t xml:space="preserve">W16</t>
  </si>
  <si>
    <t xml:space="preserve">2026-09-11</t>
  </si>
  <si>
    <t xml:space="preserve">Gobierno de Santiago convoca a expertos nacionales e internacionales para fortalecer la proyección global de la Región Metropolitana</t>
  </si>
  <si>
    <t xml:space="preserve">https://www.gobiernosantiago.cl/2026/09/11/gobierno-de-santiago-convoca-a-expertos-nacionales-e-internacionales-para-fortalecer-la-proyeccion-global-de-la-region-metropolitana/</t>
  </si>
  <si>
    <t xml:space="preserve">Un experto sugiere que Santiago presente avances ODS ante Naciones Unidas (revisión local voluntaria); es una propuesta, no un compromiso con metas o indicadores.</t>
  </si>
  <si>
    <t xml:space="preserve">W17</t>
  </si>
  <si>
    <t xml:space="preserve">2026-05-18</t>
  </si>
  <si>
    <t xml:space="preserve">Maule impulsa histórica alianza regional por la sostenibilidad con primera sesión del Consejo Estratégico Regional</t>
  </si>
  <si>
    <t xml:space="preserve">https://www.goremaule.cl/goremauleVII/2026/05/18/maule-impulsa-historica-alianza-regional-por-la-sostenibilidad-con-primera-sesion-del-consejo-estrategico-regional/</t>
  </si>
  <si>
    <t xml:space="preserve">Declara que los ejes estratégicos están «en línea con los ODS», sin metas, indicadores ni presupuesto asociados.</t>
  </si>
  <si>
    <t xml:space="preserve">W18</t>
  </si>
  <si>
    <t xml:space="preserve">2022-04-22</t>
  </si>
  <si>
    <t xml:space="preserve">Gobernadora Cristina Bravo inicia ciclo de formación para emprendedores e inversionistas Maule Investments</t>
  </si>
  <si>
    <t xml:space="preserve">https://www.goremaule.cl/goremauleVII/2022/04/22/gobernadora-cristina-bravo-inicia-ciclo-de-formacion-para-emprendedores-e-inversionista-maule-investments/</t>
  </si>
  <si>
    <t xml:space="preserve">Menciona inversionistas que contribuyen a los ODS; sin vínculo con metas del GORE.</t>
  </si>
  <si>
    <t xml:space="preserve">W19</t>
  </si>
  <si>
    <t xml:space="preserve">2025-03-26</t>
  </si>
  <si>
    <t xml:space="preserve">Ñuble avanza en inclusión digital con la primera sesión del Comité Técnico del proyecto Comunidades Conectadas</t>
  </si>
  <si>
    <t xml:space="preserve">https://goredenuble.cl/nuble-avanza-en-inclusion-digital-con-la-primera-sesion-del-comite-tecnico-del-proyecto-comunidades-conectadas/</t>
  </si>
  <si>
    <t xml:space="preserve">Programa «Comunidades Conectadas» (ONU + GORE Ñuble), financiado por el Fondo Conjunto para los ODS (Joint SDG Fund): iniciativa con financiamiento explícitamente vinculado a los ODS.</t>
  </si>
  <si>
    <t xml:space="preserve">W20</t>
  </si>
  <si>
    <t xml:space="preserve">2025-07-03</t>
  </si>
  <si>
    <t xml:space="preserve">Gobierno Regional y ONU presentan proyecto de transformación digital a comunas beneficiadas</t>
  </si>
  <si>
    <t xml:space="preserve">https://goredenuble.cl/gobierno-regional-y-onu-presentan-proyecto-de-transformacion-digital-a-comunas-beneficiadas/</t>
  </si>
  <si>
    <t xml:space="preserve">W21</t>
  </si>
  <si>
    <t xml:space="preserve">2025-10-17</t>
  </si>
  <si>
    <t xml:space="preserve">Sede Magdalena Alto en Coelemu: inauguran primer punto de conexión comunitaria a internet del proyecto Comunidades Conectadas</t>
  </si>
  <si>
    <t xml:space="preserve">https://goredenuble.cl/sede-magdalena-alto-en-coelemu-inauguran-primer-punto-de-conexion-comunitaria-a-internet-del-proyecto-comunidades-conectadas/</t>
  </si>
  <si>
    <t xml:space="preserve">W22</t>
  </si>
  <si>
    <t xml:space="preserve">2026-04-01</t>
  </si>
  <si>
    <t xml:space="preserve">«Ahora podemos saber antes lo que tenemos»: telemedicina ya mejora la vida de vecinos de Capilla Norte en El Carmen</t>
  </si>
  <si>
    <t xml:space="preserve">https://goredenuble.cl/ahora-podemos-saber-antes-lo-que-tenemos-telemedicina-ya-mejora-la-vida-de-vecinos-de-capilla-norte-en-el-carmen/</t>
  </si>
  <si>
    <t xml:space="preserve">W23</t>
  </si>
  <si>
    <t xml:space="preserve">2026-05-25</t>
  </si>
  <si>
    <t xml:space="preserve">Programa Comunidades Conectadas de ONU y Gobierno Regional habilitan 31 puntos de internet en zonas rurales</t>
  </si>
  <si>
    <t xml:space="preserve">https://goredenuble.cl/programa-comunidades-conectadas-de-onu-y-gobierno-regional-habilitan-31-puntos-de-internet-en-zonas-rurales/</t>
  </si>
  <si>
    <t xml:space="preserve">W24</t>
  </si>
  <si>
    <t xml:space="preserve">2026-06-22</t>
  </si>
  <si>
    <t xml:space="preserve">31 puntos de conectividad rural en Ñuble: comunidades que antes estaban aisladas hoy se conectan al mundo</t>
  </si>
  <si>
    <t xml:space="preserve">https://goredenuble.cl/31-puntos-de-conectividad-rural-en-nuble-comunidades-que-antes-estaban-aisladas-hoy-se-conectan-al-mundo/</t>
  </si>
  <si>
    <t xml:space="preserve">W25</t>
  </si>
  <si>
    <t xml:space="preserve">2019-06-19</t>
  </si>
  <si>
    <t xml:space="preserve">Autoridades incentivan Catastro Nacional de Voluntariado para medir su impacto</t>
  </si>
  <si>
    <t xml:space="preserve">https://gorebiobio.cl/2019/06/19/autoridades-incentivan-catastro-nacional-de-voluntariado-para-medir-su-impacto/</t>
  </si>
  <si>
    <t xml:space="preserve">Menciona ODS como contexto de una iniciativa del INJUV; sin metas, indicadores ni presupuesto del GORE.</t>
  </si>
  <si>
    <t xml:space="preserve">W26</t>
  </si>
  <si>
    <t xml:space="preserve">2021-10-07</t>
  </si>
  <si>
    <t xml:space="preserve">Díaz propuso interpelar también al ministro del Interior por los atentados en zona sur del Biobío</t>
  </si>
  <si>
    <t xml:space="preserve">https://gorebiobio.cl/2021/10/07/diaz-propuso-interpelar-tambien-al-ministro-del-interior-por-los-atentados-en-zona-sur-del-biobio/</t>
  </si>
  <si>
    <t xml:space="preserve">objetivos del desarrollo sostenible</t>
  </si>
  <si>
    <t xml:space="preserve">Referencia discursiva del gobernador a los objetivos del desarrollo sostenible.</t>
  </si>
  <si>
    <t xml:space="preserve">W27</t>
  </si>
  <si>
    <t xml:space="preserve">2025-02-28</t>
  </si>
  <si>
    <t xml:space="preserve">Gobierno Regional de La Araucanía y ONU se reúnen para avanzar en la inclusión digital</t>
  </si>
  <si>
    <t xml:space="preserve">https://gorearaucania.cl/noticias/2025-02-28/gobierno-regional-de-la-araucania-y-onu-se-reunen-para-avanzar-en-la-inclusion-digital</t>
  </si>
  <si>
    <t xml:space="preserve">Programa «Comunidades Conectadas» financiado por el Fondo Conjunto de los ODS (Joint SDG Fund).</t>
  </si>
  <si>
    <t xml:space="preserve">W28</t>
  </si>
  <si>
    <t xml:space="preserve">2025-04-04</t>
  </si>
  <si>
    <t xml:space="preserve">Gobierno de La Araucanía impulsa primer comité técnico regional Comunidades Conectadas</t>
  </si>
  <si>
    <t xml:space="preserve">https://gorearaucania.cl/noticias/2025-04-04/gobierno-de-la-araucania-impulsa-primer-comite-tecnico-regional-comunidades-conectadas</t>
  </si>
  <si>
    <t xml:space="preserve">Inversión de US$ 3 millones del Fondo Conjunto de los ODS, con ejes estratégicos definidos.</t>
  </si>
  <si>
    <t xml:space="preserve">W29</t>
  </si>
  <si>
    <t xml:space="preserve">2025-12-05</t>
  </si>
  <si>
    <t xml:space="preserve">Gobierno de La Araucanía participa en seminario de cooperativismo en Chile organizado por Naciones Unidas</t>
  </si>
  <si>
    <t xml:space="preserve">https://gorearaucania.cl/noticias/2025-12-05/gobierno-de-la-araucania-participa-en-seminario-de-cooperativismo-en-chile-organizado-por-naciones-unidas</t>
  </si>
  <si>
    <t xml:space="preserve">Participación en seminario; las cooperativas como actores para avanzar hacia los ODS.</t>
  </si>
  <si>
    <t xml:space="preserve">W30</t>
  </si>
  <si>
    <t xml:space="preserve">2026-06-26</t>
  </si>
  <si>
    <t xml:space="preserve">Región de Los Ríos se incorpora a Regions4 y fortalece su proyección internacional en acción climática, biodiversidad y desarrollo sostenible</t>
  </si>
  <si>
    <t xml:space="preserve">https://www.goredelosrios.cl/index.php/region-de-los-rios-se-incorpora-a-regions4-y-fortalece-su-proyeccion-internacional-en-accion-climatica-biodiversidad-y-desarrollo-sostenible/</t>
  </si>
  <si>
    <t xml:space="preserve">Describe la red Regions4 y su vínculo con la Agenda 2030; sin metas ni indicadores regionales.</t>
  </si>
  <si>
    <t xml:space="preserve">W31</t>
  </si>
  <si>
    <t xml:space="preserve">PARCC Aysén (Plan de Acción Regional de Cambio Climático)</t>
  </si>
  <si>
    <t xml:space="preserve">https://www.goreaysen.cl/parcc-aysen/</t>
  </si>
  <si>
    <t xml:space="preserve">Solo un enlace al «Portal Objetivo Desarrollo Sostenible (ODS)» en una lista de recursos.</t>
  </si>
  <si>
    <t xml:space="preserve">W32</t>
  </si>
  <si>
    <t xml:space="preserve">2025-03-24</t>
  </si>
  <si>
    <t xml:space="preserve">Con alta convocatoria de inversionistas nacionales y extranjeros se desarrolló el foro de inversiones en Punta Arenas</t>
  </si>
  <si>
    <t xml:space="preserve">https://www.goremagallanes.cl/con-alta-convocatoria-de-inversionistas-nacionales-y-extranjeros-se-desarrollo-el-foro-de-inversiones-en-punta-arenas/</t>
  </si>
  <si>
    <t xml:space="preserve">Menciona los ODS como antecedente general del foro.</t>
  </si>
  <si>
    <t xml:space="preserve">D01</t>
  </si>
  <si>
    <t xml:space="preserve">Cuenta pública</t>
  </si>
  <si>
    <t xml:space="preserve">p. 46</t>
  </si>
  <si>
    <t xml:space="preserve">Cuenta Pública Gobierno Regional 2024 (publicada 04-02-2026)</t>
  </si>
  <si>
    <t xml:space="preserve">https://goreantofagasta.cl/goreantofagasta/site/artic/20260204/asocfile/20260204211006/cuenta_publica_2024.pdf</t>
  </si>
  <si>
    <t xml:space="preserve">Minería más sustentable «en línea con los Objetivos de Desarrollo Sostenible de las Naciones Unidas».</t>
  </si>
  <si>
    <t xml:space="preserve">D02</t>
  </si>
  <si>
    <t xml:space="preserve">ERD</t>
  </si>
  <si>
    <t xml:space="preserve">p. 20</t>
  </si>
  <si>
    <t xml:space="preserve">ERDA 2024-2034</t>
  </si>
  <si>
    <t xml:space="preserve">https://www.goreatacama.gob.cl (2024_08_01_ERDA_2024_2034_VERSION_INAL.pdf)</t>
  </si>
  <si>
    <t xml:space="preserve">«Estos lineamientos son consistentes con los ODS de la Agenda 2030»</t>
  </si>
  <si>
    <t xml:space="preserve">D03</t>
  </si>
  <si>
    <t xml:space="preserve">p. 33</t>
  </si>
  <si>
    <t xml:space="preserve">Estrategia Regional de Desarrollo 2030 (libro, nov. 2025)</t>
  </si>
  <si>
    <t xml:space="preserve">https://www.gorecoquimbo.cl/gore/site/docs/20251128/20251128143713/libro_erd2030.pdf</t>
  </si>
  <si>
    <t xml:space="preserve">Cada desafío regional se relaciona con «los Objetivos de Desarrollo Sostenible de la Agenda 2030» (Figura 8).</t>
  </si>
  <si>
    <t xml:space="preserve">D04</t>
  </si>
  <si>
    <t xml:space="preserve">p. 37</t>
  </si>
  <si>
    <t xml:space="preserve">«Este planteamiento se relaciona con cuatro ODS: (3)… (4)… (6)… (7)»</t>
  </si>
  <si>
    <t xml:space="preserve">D05</t>
  </si>
  <si>
    <t xml:space="preserve">p. 42</t>
  </si>
  <si>
    <t xml:space="preserve">Vivienda vinculada al ODS 11 y a su primera meta (acceso a vivienda).</t>
  </si>
  <si>
    <t xml:space="preserve">D06</t>
  </si>
  <si>
    <t xml:space="preserve">p. 81</t>
  </si>
  <si>
    <t xml:space="preserve">Estrategia Regional de Desarrollo 2025-2035</t>
  </si>
  <si>
    <t xml:space="preserve">https://www.gobiernovalparaiso.cl/administracion/archivo/archivoDocumento/general/ESTRATEGIA_REGIONAL_DE_DESARROLLO_2025_2035.pdf</t>
  </si>
  <si>
    <t xml:space="preserve">La matriz estratégica se alinea con «los objetivos del desarrollo sostenible de la agenda 2030».</t>
  </si>
  <si>
    <t xml:space="preserve">D07</t>
  </si>
  <si>
    <t xml:space="preserve">p. 88</t>
  </si>
  <si>
    <t xml:space="preserve">«las líneas de acción de este eje… contribuyen al logro de los siguientes Objetivos de Desarrollo Sostenible: … (ODS 01)… (ODS 10)»; patrón repetido por eje (pp. 92, 96, 104, 108).</t>
  </si>
  <si>
    <t xml:space="preserve">D08</t>
  </si>
  <si>
    <t xml:space="preserve">p. 56</t>
  </si>
  <si>
    <t xml:space="preserve">ERD RM 2035</t>
  </si>
  <si>
    <t xml:space="preserve">https://gobiernosantiago.cl/wp-content/uploads/2026/06/ERD-RM_2035.pdf</t>
  </si>
  <si>
    <t xml:space="preserve">Figura 17: matriz que vincula los lineamientos L1–L7 de la ERD RM 2035 con ODS específicos (p. ej., L7 Gobernanza multinivel ↔ ODS 16).</t>
  </si>
  <si>
    <t xml:space="preserve">D09</t>
  </si>
  <si>
    <t xml:space="preserve">p. 57</t>
  </si>
  <si>
    <t xml:space="preserve">«los siete lineamientos estratégicos comprometen al menos un ODS»</t>
  </si>
  <si>
    <t xml:space="preserve">D10</t>
  </si>
  <si>
    <t xml:space="preserve">p. 9</t>
  </si>
  <si>
    <t xml:space="preserve">ERD Maule 2042 – Documento Consolidado (13-04-2023)</t>
  </si>
  <si>
    <t xml:space="preserve">https://www.goremaule.cl/goremauleVII/wp-content/uploads/2023/04/Documento-Consolidado-de-la-ERD-Maule-2042.pdf</t>
  </si>
  <si>
    <t xml:space="preserve">«Si bien los ODS son el marco a partir del cual se estructura la Estrategia Regional de Desarrollo Maule 2042…»</t>
  </si>
  <si>
    <t xml:space="preserve">D11</t>
  </si>
  <si>
    <t xml:space="preserve">p. 13</t>
  </si>
  <si>
    <t xml:space="preserve">Cada lineamiento, objetivo y acción establece su «alineamiento con los Objetivos de Desarrollo Sostenible y las metas de la Agenda 2030».</t>
  </si>
  <si>
    <t xml:space="preserve">D12</t>
  </si>
  <si>
    <t xml:space="preserve">p. 61</t>
  </si>
  <si>
    <t xml:space="preserve">Sección 3.2 «La importancia de los valores de la ONU y la Agenda 2030»; ilustración de los 17 ODS.</t>
  </si>
  <si>
    <t xml:space="preserve">D13</t>
  </si>
  <si>
    <t xml:space="preserve">p. 8</t>
  </si>
  <si>
    <t xml:space="preserve">Estrategia Regional de Desarrollo Araucanía 2040 (ERD 2025-2040)</t>
  </si>
  <si>
    <t xml:space="preserve">https://drive.google.com/file/d/1M8MSDkl266PpgDlU2LiIdMtbJCA0IPwJ/view</t>
  </si>
  <si>
    <t xml:space="preserve">Alineación con compromisos «nacionales y globales, tales como los Objetivos de Desarrollo Sostenible (ODS)».</t>
  </si>
  <si>
    <t xml:space="preserve">D14</t>
  </si>
  <si>
    <t xml:space="preserve">p. 120</t>
  </si>
  <si>
    <t xml:space="preserve">Figura 44: vincula cada uno de los 17 ODS con un Lineamiento Estratégico Regional (LER 1–6); ODS 16 ↔ LER 4 «Institucionalidad, gobernanza y participación».</t>
  </si>
  <si>
    <t xml:space="preserve">D15</t>
  </si>
  <si>
    <t xml:space="preserve">p. 70</t>
  </si>
  <si>
    <t xml:space="preserve">Estrategia Regional de Desarrollo Los Lagos 2030</t>
  </si>
  <si>
    <t xml:space="preserve">https://goreloslagos.cl/storage/web/pages/documents/01KJ2Y01G6FFAW58G8EJB2WGPG.pdf</t>
  </si>
  <si>
    <t xml:space="preserve">Los temas de la ERD «se relacionan con macro objetivos de escala global […] tales como los ODS»; sin vinculación por objetivo ni indicadores.</t>
  </si>
  <si>
    <t xml:space="preserve">D16</t>
  </si>
  <si>
    <t xml:space="preserve">p. 35</t>
  </si>
  <si>
    <t xml:space="preserve">Estrategia Regional de Desarrollo 2023-2030 (aprobada por el CORE el 16-05-2023)</t>
  </si>
  <si>
    <t xml:space="preserve">https://www.goremagallanes.cl/wp-content/uploads/2025/09/Estrategia-Regional-de-Desarrollo-2023-2030.pdf</t>
  </si>
  <si>
    <t xml:space="preserve">La ERD asume la Agenda 2030 como marco transversal y declara que «cada objetivo de la ERD se relaciona con uno o más de los 17 ODS».</t>
  </si>
  <si>
    <t xml:space="preserve">Acuerdo observado en tipo (ítems con 2.ª codificación):</t>
  </si>
  <si>
    <t xml:space="preserve">Acuerdo esperado por azar (pe):</t>
  </si>
  <si>
    <t xml:space="preserve">κ de Cohen (tipo de mención):</t>
  </si>
  <si>
    <t xml:space="preserve">Registro de documentos (fuentes 2 y 3: cuenta pública y ERD)</t>
  </si>
  <si>
    <t xml:space="preserve">Conteos por término sobre el texto extraído del PDF. Vacío = documento no disponible o no procesable.</t>
  </si>
  <si>
    <t xml:space="preserve">Documento</t>
  </si>
  <si>
    <t xml:space="preserve">Páginas</t>
  </si>
  <si>
    <t xml:space="preserve">Caracteres</t>
  </si>
  <si>
    <t xml:space="preserve">Car./pág.</t>
  </si>
  <si>
    <t xml:space="preserve">Clasificación</t>
  </si>
  <si>
    <t xml:space="preserve">Documento técnico Cuenta Pública GORE Arica y Parinacota 2025-2026</t>
  </si>
  <si>
    <t xml:space="preserve">https://www.gorearicayparinacota.cl/goreayp/site/docs/20260309/20260309134718/cuentapublica2025.pdf</t>
  </si>
  <si>
    <t xml:space="preserve">ERD Arica y Parinacota 2017-2030 (sitio web anterior del GORE)</t>
  </si>
  <si>
    <t xml:space="preserve">Búsqueda dirigida 28-09: solo en el sitio web anterior del GORE. p. 165: «se seleccionó un grupo de metas de los ODS que poseen indicadores»; metas del ODS 16 (16.1-16.6, 16.9, 16.b). Conteos por término pendientes.</t>
  </si>
  <si>
    <t xml:space="preserve">2026-09-28</t>
  </si>
  <si>
    <t xml:space="preserve">Cuenta Pública GORE 2025 («#GobernandoDesdeLosTerritorios»)</t>
  </si>
  <si>
    <t xml:space="preserve">https://www.goretarapaca.gov.cl/wp-content/uploads/2026/05/CUENTA-PUBLICA-GORE-2025-1.pdf</t>
  </si>
  <si>
    <t xml:space="preserve">Actualización de la Estrategia Regional de Desarrollo, Región de Tarapacá 2023-2033 (documento final)</t>
  </si>
  <si>
    <t xml:space="preserve">https://www.goretarapaca.gov.cl/wp-content/uploads/2024/04/Documento-ERD-Tarapaca%CC%81-2023_vf.pdf</t>
  </si>
  <si>
    <t xml:space="preserve">No hay cuenta pública más reciente publicada.</t>
  </si>
  <si>
    <t xml:space="preserve">Estrategia Regional de Desarrollo 2009-2020 (única publicada)</t>
  </si>
  <si>
    <t xml:space="preserve">https://goreantofagasta.cl/goreantofagasta/site/artic/20161006/asocfile/20161006170042/estrategia_2009_2020.pdf</t>
  </si>
  <si>
    <t xml:space="preserve">ERD vencida, anterior a la Agenda 2030 (2015).</t>
  </si>
  <si>
    <t xml:space="preserve">Cuenta Pública 2026</t>
  </si>
  <si>
    <t xml:space="preserve">https://www.goreatacama.gob.cl (2026_05_28_Cuenta_Publica_2026.pdf)</t>
  </si>
  <si>
    <t xml:space="preserve">0 menciones de términos núcleo.</t>
  </si>
  <si>
    <t xml:space="preserve">Declaración general de consistencia, sin vincular metas ni indicadores.</t>
  </si>
  <si>
    <t xml:space="preserve">Cuenta Pública Gestión 2025</t>
  </si>
  <si>
    <t xml:space="preserve">https://www.gorecoquimbo.cl/CP2025/Cuenta_Publica_Gestion_2025.pdf</t>
  </si>
  <si>
    <t xml:space="preserve">Formato presentación (≈520 caracteres/página).</t>
  </si>
  <si>
    <t xml:space="preserve">Vinculación desafío/lineamiento–ODS con referencia a metas.</t>
  </si>
  <si>
    <t xml:space="preserve">Cuenta Pública 2026 ante el Consejo Regional</t>
  </si>
  <si>
    <t xml:space="preserve">https://www.gobiernovalparaiso.cl/administracion/archivo/archivoDocumento/2026/documento20260529103401.pdf</t>
  </si>
  <si>
    <t xml:space="preserve">Formato presentación.</t>
  </si>
  <si>
    <t xml:space="preserve">Cada eje declara los ODS a los que contribuye.</t>
  </si>
  <si>
    <t xml:space="preserve">Cuenta Pública Gobierno de Santiago 2026</t>
  </si>
  <si>
    <t xml:space="preserve">https://gobiernosantiago.cl/wp-content/uploads/2026/05/Cuenta-Pu%CC%81blica-Gobierno-de-Santiago-2026.pdf</t>
  </si>
  <si>
    <t xml:space="preserve">0 menciones núcleo. Sitio bloquea pdf.js (CSP); PDF transferido completo y verificado por tamaño (1.349.203 bytes).</t>
  </si>
  <si>
    <t xml:space="preserve">Vinculación explícita lineamiento–ODS (incluye ODS 16); sin metas ni indicadores ODS.</t>
  </si>
  <si>
    <t xml:space="preserve">Cuenta Pública Gobierno Regional de O'Higgins, enero a diciembre 2025</t>
  </si>
  <si>
    <t xml:space="preserve">https://www.goreohiggins.cl/cuentapublica/CuentaPublica2025_v2.pdf</t>
  </si>
  <si>
    <t xml:space="preserve">ERD O'Higgins (ruta no enlazada desde la página de la ERD)</t>
  </si>
  <si>
    <t xml:space="preserve">https://www.goreohiggins.cl/docs/diplade/estrategias_regionales.zip</t>
  </si>
  <si>
    <t xml:space="preserve">Búsqueda dirigida 28-09: la página de la ERD solo ofrecía un .zip; el PDF estaba en una ruta no enlazada. Conteos por término pendientes.</t>
  </si>
  <si>
    <t xml:space="preserve">Cuenta Pública 2025</t>
  </si>
  <si>
    <t xml:space="preserve">https://www.goremaule.cl (Cuenta Pública 2025, PDF)</t>
  </si>
  <si>
    <t xml:space="preserve">La ERD declara los ODS como marco estructurante y alinea lineamientos/objetivos/acciones con ODS y metas. El PDF principal (Estrategia-Regional-de-Desarrollo-Maule-2042-1-1.pdf, 281 pp) es escaneado (0 caracteres); se usó el Documento Consolidado. Informe Ejecutivo (97 pp): ODS 4, ODSos 7, Agenda 2030 10.</t>
  </si>
  <si>
    <t xml:space="preserve">Cuenta Pública 2026 («Cambiamos la vida de las personas»)</t>
  </si>
  <si>
    <t xml:space="preserve">https://goredenuble.cl/wp-content/uploads/2026/05/cuenta-2026-final-22.pdf</t>
  </si>
  <si>
    <t xml:space="preserve">Estrategia Regional de Desarrollo de Ñuble 2030 (documento de ajuste, 24 pp.)</t>
  </si>
  <si>
    <t xml:space="preserve">https://goredenuble.cl/wp-content/uploads/2024/01/ERD-FINAL.pdf</t>
  </si>
  <si>
    <t xml:space="preserve">Cuenta Pública Biobío 2026 (presentación enlazada desde un banner)</t>
  </si>
  <si>
    <t xml:space="preserve">https://gorebiobio.cl/sesionescore/sesion-extraordinaria-no-4-2026-cuenta-publica-gobernador-regional/</t>
  </si>
  <si>
    <t xml:space="preserve">Revisión 29-09: la cuenta pública 2025 se publicó solo en video (YouTube); se excluye como documento.</t>
  </si>
  <si>
    <t xml:space="preserve">ERD Biobío 2015-2030</t>
  </si>
  <si>
    <t xml:space="preserve">https://www.gorebiobio.cl (ERD 2015-2030, PDF)</t>
  </si>
  <si>
    <t xml:space="preserve">Sin menciones de ningún término.</t>
  </si>
  <si>
    <t xml:space="preserve">Ajuste ERD Región del Biobío (junio 2023, presentación)</t>
  </si>
  <si>
    <t xml:space="preserve">https://www.gorebiobio.cl (Ajuste ERD, PDF)</t>
  </si>
  <si>
    <t xml:space="preserve">0 menciones núcleo.</t>
  </si>
  <si>
    <t xml:space="preserve">Cuenta Pública 2025 (visor Heyzine en gorearaucania.cl/cuentas-publicas)</t>
  </si>
  <si>
    <t xml:space="preserve">https://gorearaucania.cl/cuentas-publicas</t>
  </si>
  <si>
    <t xml:space="preserve">Revisión 07-10-2026: documento en visor embebido Heyzine (PDF original obtenido desde el visor). Sin términos ODS núcleo; solo términos de contexto.</t>
  </si>
  <si>
    <t xml:space="preserve">2026-10-07</t>
  </si>
  <si>
    <t xml:space="preserve">PDF alojado en Google Drive, descargado por la cod. 2 (24-09-2026). Vinculación ODS–lineamientos en la Figura 44 (p. 120).</t>
  </si>
  <si>
    <t xml:space="preserve">Discurso Cuenta Pública 2025</t>
  </si>
  <si>
    <t xml:space="preserve">https://www.goredelosrios.cl/wp-content/uploads/2026/06/Discurso-Cuenta-Publica-2025-Gobierno-Regional-de-Los-Rios-1.pdf</t>
  </si>
  <si>
    <t xml:space="preserve">ERD Los Ríos 2023-2037 (sitio propio erdlosrios.cl)</t>
  </si>
  <si>
    <t xml:space="preserve">Búsqueda dirigida 28-09. p. 84: los ODS solo aparecen dentro de una cita de la UNESCO (declarativa). Conteos por término pendientes.</t>
  </si>
  <si>
    <t xml:space="preserve">No localizada: la sección «Documentos de gestión» (89 PDF revisados) no contiene la cuenta pública</t>
  </si>
  <si>
    <t xml:space="preserve">Revisión 29-09: la cuenta pública 2025 se publicó solo en video (YouTube).</t>
  </si>
  <si>
    <t xml:space="preserve">Cuenta Pública 28 de mayo 2026</t>
  </si>
  <si>
    <t xml:space="preserve">https://www.goreaysen.cl/wp-content/uploads/2026/06/CuentaPublica_28_MAYO.pdf</t>
  </si>
  <si>
    <t xml:space="preserve">Presentación fotográfica (66 láminas con títulos). Revisada con OCR (tesseract) el 24-09-2026: sin términos ODS ni de contexto.</t>
  </si>
  <si>
    <t xml:space="preserve">ERD Aysén («Documentación de interés», nombre de archivo poco identificable)</t>
  </si>
  <si>
    <t xml:space="preserve">https://www.goreaysen.cl/documentacion-de-interes/</t>
  </si>
  <si>
    <t xml:space="preserve">Búsqueda dirigida 28-09. Conteos por término pendientes.</t>
  </si>
  <si>
    <t xml:space="preserve">Cuenta Pública 2026 (gestión 2025)</t>
  </si>
  <si>
    <t xml:space="preserve">https://www.goremagallanes.cl/wp-content/uploads/2026/07/Cuenta-2026_219_ENTREGA-GORE_Final.pdf</t>
  </si>
  <si>
    <t xml:space="preserve">Documento mayoritariamente en imágenes; revisado con OCR (tesseract, 148 pp., 24-09-2026): sin términos ODS núcleo (1 «desarrollo sostenible», 1 «sostenibilidad»).</t>
  </si>
  <si>
    <t xml:space="preserve">Revisión 25-09-2026 (versión de alta resolución, 49 MB, mismo texto): 58 tablas de indicadores con columna «ODS» en versalitas (el texto extraído dice «ods»); por la regla de mayúsculas esos encabezados no se cuentan como mención. Los 17 ODS aparecen asignados a indicadores; ODS 16 en 4.</t>
  </si>
  <si>
    <t xml:space="preserve">Tabla corta: menciones ODS por GORE y por tipo</t>
  </si>
  <si>
    <t xml:space="preserve">Todo calculado con fórmulas desde «Menciones» y «Documentos».</t>
  </si>
  <si>
    <t xml:space="preserve">Web: retóricas</t>
  </si>
  <si>
    <t xml:space="preserve">Web: sustantivas</t>
  </si>
  <si>
    <t xml:space="preserve">Web: total</t>
  </si>
  <si>
    <t xml:space="preserve">Algún vínculo sustantivo</t>
  </si>
  <si>
    <t xml:space="preserve">Total / n.º GORE</t>
  </si>
  <si>
    <t xml:space="preserve">0 sust. · 1 ret.</t>
  </si>
  <si>
    <t xml:space="preserve">7 sust. · 3 ret.</t>
  </si>
  <si>
    <t xml:space="preserve">Indicadores para el texto del paper</t>
  </si>
  <si>
    <t xml:space="preserve">GORE con ≥1 mención núcleo en su sitio web</t>
  </si>
  <si>
    <t xml:space="preserve">GORE con mención sustantiva en su sitio web</t>
  </si>
  <si>
    <t xml:space="preserve">% de menciones web que son sustantivas</t>
  </si>
  <si>
    <t xml:space="preserve">Cuentas públicas procesadas (texto legible, total o parcial)</t>
  </si>
  <si>
    <t xml:space="preserve">Cuentas públicas con mención núcleo</t>
  </si>
  <si>
    <t xml:space="preserve">ERD procesadas</t>
  </si>
  <si>
    <t xml:space="preserve">ERD con vínculo sustantivo a ODS</t>
  </si>
  <si>
    <t xml:space="preserve">Documentos no disponibles o no procesables (de 32)</t>
  </si>
  <si>
    <t xml:space="preserve">Muestra de reproducibilidad (segunda persona)</t>
  </si>
  <si>
    <t xml:space="preserve">Anote sus resultados en las columnas amarillas. Parte A: 5 GORE × 4 términos núcleo en el sitio web (semilla aleatoria 2026). Parte B: los 4 términos núcleo en cada documento con mención (cuentas públicas y ERD).</t>
  </si>
  <si>
    <t xml:space="preserve">Término / documento</t>
  </si>
  <si>
    <t xml:space="preserve">Conteo cod. 1</t>
  </si>
  <si>
    <t xml:space="preserve">Conteo cod. 2</t>
  </si>
  <si>
    <t xml:space="preserve">Coincide</t>
  </si>
  <si>
    <t xml:space="preserve">Nombre cod. 2</t>
  </si>
  <si>
    <t xml:space="preserve">Fecha búsqueda 2</t>
  </si>
  <si>
    <t xml:space="preserve">Observaciones</t>
  </si>
  <si>
    <t xml:space="preserve">Darling Salazar</t>
  </si>
  <si>
    <t xml:space="preserve">Cod. 2 no halló el término en la noticia del festival 2019; cod. 1 lo contó. Diferencia dentro del margen.</t>
  </si>
  <si>
    <t xml:space="preserve">Sitio sin buscador; Google site: sin resultados. Se verificaron las 7 noticias del cod. 1 y una muestra aleatoria de 10 noticias (sin menciones).</t>
  </si>
  <si>
    <t xml:space="preserve">Noticia 2023-03-21 dice «Objetivo de Desarrollo Sostenible» (singular): la regla del cod. 1 no aceptaba singular. Consenso = 5; regla enmendada.</t>
  </si>
  <si>
    <t xml:space="preserve">Página ERD Maule 2042 descartada («objetivos» de la ERD, no ODS). Consenso = 2.</t>
  </si>
  <si>
    <t xml:space="preserve">Cod. 2 revisó solo los resúmenes de la lista de resultados; al abrir las 3 noticias, todas contienen «ODS». Consenso = 3.</t>
  </si>
  <si>
    <t xml:space="preserve">Ídem: revisión solo de resúmenes. Al abrir las 3 noticias, todas contienen el término. Consenso = 3.</t>
  </si>
  <si>
    <t xml:space="preserve">Cod. 2 corrigió un error de digitación (1 → 0).</t>
  </si>
  <si>
    <t xml:space="preserve">La regla inicial del cod. 1 no aceptaba «del» («objetivos del desarrollo sostenible», 2021). Consenso = 2.</t>
  </si>
  <si>
    <t xml:space="preserve">Parte B · Documentos (cuentas públicas y ERD con mención)</t>
  </si>
  <si>
    <t xml:space="preserve">Cómo contar: abra el PDF (enlace en la hoja «Documentos»), use Ctrl+F / Cmd+F con cada término y anote cuántos resultados da el visor. Para «Objetivos de Desarrollo Sostenible» busque «desarrollo sostenible» y cuente solo los precedidos por «Objetivo(s) de/del». «ODS» también encuentra «ODS 16»: está bien, se cuenta igual que el cod. 1. No cuente encabezados de columna ni direcciones web (en la ERD de Magallanes, Ctrl+F encuentra además el encabezado «ods» de las 58 tablas de indicadores: réstelo). Coincide si la diferencia es ≤ 1 o ≤ 10 % del conteo del cod. 1 (el texto de un PDF puede cortar palabras entre líneas). Se cuenta solo texto: un ODS 16 que aparece como ícono o número en una tabla no suma aquí (eso se registra en el mapa de 17 ODS).</t>
  </si>
  <si>
    <t xml:space="preserve">ODS — Cuenta Pública Gobierno Regional 2024 (publicada 04-02-2026)</t>
  </si>
  <si>
    <t xml:space="preserve">Objetivos de Desarrollo Sostenible — Cuenta Pública Gobierno Regional 2024 (publicada 04-02-2026)</t>
  </si>
  <si>
    <t xml:space="preserve">Agenda 2030 — Cuenta Pública Gobierno Regional 2024 (publicada 04-02-2026)</t>
  </si>
  <si>
    <t xml:space="preserve">ODS 16 — Cuenta Pública Gobierno Regional 2024 (publicada 04-02-2026)</t>
  </si>
  <si>
    <t xml:space="preserve">ODS — ERDA 2024-2034</t>
  </si>
  <si>
    <t xml:space="preserve">Objetivos de Desarrollo Sostenible — ERDA 2024-2034</t>
  </si>
  <si>
    <t xml:space="preserve">Agenda 2030 — ERDA 2024-2034</t>
  </si>
  <si>
    <t xml:space="preserve">ODS 16 — ERDA 2024-2034</t>
  </si>
  <si>
    <t xml:space="preserve">ODS — Estrategia Regional de Desarrollo 2030 (libro, nov. 2025)</t>
  </si>
  <si>
    <t xml:space="preserve">Objetivos de Desarrollo Sostenible — Estrategia Regional de Desarrollo 2030 (libro, nov. 2025)</t>
  </si>
  <si>
    <t xml:space="preserve">Agenda 2030 — Estrategia Regional de Desarrollo 2030 (libro, nov. 2025)</t>
  </si>
  <si>
    <t xml:space="preserve">ODS 16 — Estrategia Regional de Desarrollo 2030 (libro, nov. 2025)</t>
  </si>
  <si>
    <t xml:space="preserve">ODS — Estrategia Regional de Desarrollo 2025-2035</t>
  </si>
  <si>
    <t xml:space="preserve">Objetivos de Desarrollo Sostenible — Estrategia Regional de Desarrollo 2025-2035</t>
  </si>
  <si>
    <t xml:space="preserve">Agenda 2030 — Estrategia Regional de Desarrollo 2025-2035</t>
  </si>
  <si>
    <t xml:space="preserve">ODS 16 — Estrategia Regional de Desarrollo 2025-2035</t>
  </si>
  <si>
    <t xml:space="preserve">ODS — ERD RM 2035</t>
  </si>
  <si>
    <t xml:space="preserve">Objetivos de Desarrollo Sostenible — ERD RM 2035</t>
  </si>
  <si>
    <t xml:space="preserve">Agenda 2030 — ERD RM 2035</t>
  </si>
  <si>
    <t xml:space="preserve">ODS 16 — ERD RM 2035</t>
  </si>
  <si>
    <t xml:space="preserve">ODS — ERD Maule 2042 – Documento Consolidado (13-04-2023)</t>
  </si>
  <si>
    <t xml:space="preserve">Objetivos de Desarrollo Sostenible — ERD Maule 2042 – Documento Consolidado (13-04-2023)</t>
  </si>
  <si>
    <t xml:space="preserve">Agenda 2030 — ERD Maule 2042 – Documento Consolidado (13-04-2023)</t>
  </si>
  <si>
    <t xml:space="preserve">ODS 16 — ERD Maule 2042 – Documento Consolidado (13-04-2023)</t>
  </si>
  <si>
    <t xml:space="preserve">ODS — Estrategia Regional de Desarrollo Araucanía 2040 (ERD 2025-2040)</t>
  </si>
  <si>
    <t xml:space="preserve">Objetivos de Desarrollo Sostenible — Estrategia Regional de Desarrollo Araucanía 2040 (ERD 2025-2040)</t>
  </si>
  <si>
    <t xml:space="preserve">Agenda 2030 — Estrategia Regional de Desarrollo Araucanía 2040 (ERD 2025-2040)</t>
  </si>
  <si>
    <t xml:space="preserve">ODS 16 — Estrategia Regional de Desarrollo Araucanía 2040 (ERD 2025-2040)</t>
  </si>
  <si>
    <t xml:space="preserve">ODS — Estrategia Regional de Desarrollo Los Lagos 2030</t>
  </si>
  <si>
    <t xml:space="preserve">Objetivos de Desarrollo Sostenible — Estrategia Regional de Desarrollo Los Lagos 2030</t>
  </si>
  <si>
    <t xml:space="preserve">Agenda 2030 — Estrategia Regional de Desarrollo Los Lagos 2030</t>
  </si>
  <si>
    <t xml:space="preserve">ODS 16 — Estrategia Regional de Desarrollo Los Lagos 2030</t>
  </si>
  <si>
    <t xml:space="preserve">ODS — Estrategia Regional de Desarrollo 2023-2030 (aprobada por el CORE el 16-05-2023)</t>
  </si>
  <si>
    <t xml:space="preserve">Objetivos de Desarrollo Sostenible — Estrategia Regional de Desarrollo 2023-2030 (aprobada por el CORE el 16-05-2023)</t>
  </si>
  <si>
    <t xml:space="preserve">Agenda 2030 — Estrategia Regional de Desarrollo 2023-2030 (aprobada por el CORE el 16-05-2023)</t>
  </si>
  <si>
    <t xml:space="preserve">ODS 16 — Estrategia Regional de Desarrollo 2023-2030 (aprobada por el CORE el 16-05-2023)</t>
  </si>
  <si>
    <t xml:space="preserve">% coincidentes · Parte A, sitios web (criterio ≥ 90 %):</t>
  </si>
  <si>
    <t xml:space="preserve">% coincidentes · Parte B, documentos (criterio ≥ 90 %):</t>
  </si>
  <si>
    <t xml:space="preserve">Acuerdo en tipo de mención: ver hoja «Menciones» (celda bajo la columna Acuerdo).</t>
  </si>
  <si>
    <t xml:space="preserve">GORE en la muestra web: Atacama, Valparaíso, Maule, Ñuble, Biobío</t>
  </si>
  <si>
    <t xml:space="preserve">Mapa GORE × 17 ODS: qué ODS nombra cada documento y cómo</t>
  </si>
  <si>
    <t xml:space="preserve">Codificación por celda: 2 = ODS vinculado a un eje, lineamiento, objetivo o indicador del GORE; 1 = ODS nombrado solo como contexto; 0 = no se nombra. Rastreo por número («ODS 6») y por nombre oficial, en páginas que mencionan los ODS o la Agenda 2030 (23-09-2026).</t>
  </si>
  <si>
    <t xml:space="preserve">Nivel de integración</t>
  </si>
  <si>
    <t xml:space="preserve">N.º ODS vinculados (2)</t>
  </si>
  <si>
    <t xml:space="preserve">N.º ODS nombrados (≥1)</t>
  </si>
  <si>
    <t xml:space="preserve">Evidencia</t>
  </si>
  <si>
    <t xml:space="preserve">Fin de la pobreza</t>
  </si>
  <si>
    <t xml:space="preserve">Hambre cero</t>
  </si>
  <si>
    <t xml:space="preserve">Salud y bienestar</t>
  </si>
  <si>
    <t xml:space="preserve">Educación de calidad</t>
  </si>
  <si>
    <t xml:space="preserve">Igualdad de género</t>
  </si>
  <si>
    <t xml:space="preserve">Agua limpia y saneamiento</t>
  </si>
  <si>
    <t xml:space="preserve">Energía asequible</t>
  </si>
  <si>
    <t xml:space="preserve">Trabajo decente y crecimiento</t>
  </si>
  <si>
    <t xml:space="preserve">Industria, innovación e infraestructura</t>
  </si>
  <si>
    <t xml:space="preserve">Reducción de las desigualdades</t>
  </si>
  <si>
    <t xml:space="preserve">Ciudades y comunidades sostenibles</t>
  </si>
  <si>
    <t xml:space="preserve">Producción y consumo responsables</t>
  </si>
  <si>
    <t xml:space="preserve">Acción por el clima</t>
  </si>
  <si>
    <t xml:space="preserve">Vida submarina</t>
  </si>
  <si>
    <t xml:space="preserve">Vida de ecosistemas terrestres</t>
  </si>
  <si>
    <t xml:space="preserve">Paz, justicia e instituciones sólidas</t>
  </si>
  <si>
    <t xml:space="preserve">Alianzas para lograr los objetivos</t>
  </si>
  <si>
    <t xml:space="preserve">ERD 2017-2030 (sitio web anterior)</t>
  </si>
  <si>
    <t xml:space="preserve">2 · Vinculación estratégica</t>
  </si>
  <si>
    <t xml:space="preserve">p. 165: selección de metas ODS con indicadores para el seguimiento; vincula los 17 ODS; única ERD que cita la meta 16.6 (lista 16.1-16.6, 16.9, 16.b). Búsqueda dirigida 28-09.</t>
  </si>
  <si>
    <t xml:space="preserve">ERD 2023-2033</t>
  </si>
  <si>
    <t xml:space="preserve">0 · Sin mención</t>
  </si>
  <si>
    <t xml:space="preserve">Sin términos ODS en 98 pp.</t>
  </si>
  <si>
    <t xml:space="preserve">ERD 2009-2020</t>
  </si>
  <si>
    <t xml:space="preserve">Anterior a la Agenda 2030.</t>
  </si>
  <si>
    <t xml:space="preserve">1 · Declarativa</t>
  </si>
  <si>
    <t xml:space="preserve">p. 20: lineamientos «consistentes con los ODS»; ningún ODS específico.</t>
  </si>
  <si>
    <t xml:space="preserve">ERD 2030 (2025)</t>
  </si>
  <si>
    <t xml:space="preserve">Cada desafío se relaciona con ODS específicos (pp. 33–64); cita metas 2.3 y 2.4, y la primera meta del ODS 11.</t>
  </si>
  <si>
    <t xml:space="preserve">ERD 2025-2035</t>
  </si>
  <si>
    <t xml:space="preserve">Cada eje declara los ODS a que contribuye (pp. 88–112); eje Gobernanza (probidad y transparencia) → ODS 16 y 17.</t>
  </si>
  <si>
    <t xml:space="preserve">Figura 17 (pp. 56–57): matriz lineamientos L1–L7 × ODS; L7 Gobernanza multinivel → ODS 16.</t>
  </si>
  <si>
    <t xml:space="preserve">ERD (ruta no enlazada)</t>
  </si>
  <si>
    <t xml:space="preserve">Sin términos ODS. Búsqueda dirigida 28-09.</t>
  </si>
  <si>
    <t xml:space="preserve">ERD Maule 2042 (consolidado)</t>
  </si>
  <si>
    <t xml:space="preserve">2 · Vinculación parcial</t>
  </si>
  <si>
    <t xml:space="preserve">ODS como «marco» (p. 9) y alineamiento anunciado (p. 13) que no se presenta en las tablas de acciones; gobernanza → ODS 5; cultura ↔ metas 11.4 y 12.b.</t>
  </si>
  <si>
    <t xml:space="preserve">ERD Ñuble 2030 (ajuste)</t>
  </si>
  <si>
    <t xml:space="preserve">Sin términos ODS.</t>
  </si>
  <si>
    <t xml:space="preserve">ERD 2015-2030 + ajuste 2023</t>
  </si>
  <si>
    <t xml:space="preserve">Sin términos ODS núcleo.</t>
  </si>
  <si>
    <t xml:space="preserve">ERD Araucanía 2040 (2025)</t>
  </si>
  <si>
    <t xml:space="preserve">Figura 44 (p. 120): cada uno de los 17 ODS vinculado a un Lineamiento Estratégico Regional; ODS 16 → LER 4 «Institucionalidad, gobernanza y participación». PDF en Google Drive.</t>
  </si>
  <si>
    <t xml:space="preserve">ERD 2023-2037 (erdlosrios.cl)</t>
  </si>
  <si>
    <t xml:space="preserve">p. 84: ODS solo dentro de una cita de la UNESCO; no nombra ODS específicos. Búsqueda dirigida 28-09.</t>
  </si>
  <si>
    <t xml:space="preserve">ERD Los Lagos 2030</t>
  </si>
  <si>
    <t xml:space="preserve">p. 70: temas relacionados con «macro objetivos… tales como los ODS».</t>
  </si>
  <si>
    <t xml:space="preserve">ERD («Documentación de interés»)</t>
  </si>
  <si>
    <t xml:space="preserve">ERD 2023-2030</t>
  </si>
  <si>
    <t xml:space="preserve">3 · Operacionalizada</t>
  </si>
  <si>
    <t xml:space="preserve">Revisada de nuevo el 25-09-2026 con la versión de alta resolución (agosto de 2023): las 58 tablas de indicadores (págs. 46–87 del PDF) tienen una columna «ODS» y, en conjunto, nombran los 17 ODS. ODS 16 en 4 indicadores: competencias en seguridad ciudadana (obj. 6.1), gestión de riesgos (obj. 13.2.4), leyes de excepción y mecanismos vinculantes de participación en decisiones presupuestarias (págs. 75–76). No menciona transparencia, rendición de cuentas ni las metas 16.6 o 16.10.</t>
  </si>
  <si>
    <t xml:space="preserve">ERD que nombran el ODS (≥1)</t>
  </si>
  <si>
    <t xml:space="preserve">ERD que lo vinculan (=2)</t>
  </si>
  <si>
    <t xml:space="preserve">16 sitios web (32 menciones)</t>
  </si>
  <si>
    <t xml:space="preserve">—</t>
  </si>
  <si>
    <t xml:space="preserve">Solo 2 menciones nombran un ODS: ODS 6 (Valparaíso, 2023) y ODS 11 (Tarapacá, programa INJUV). Las 30 restantes aluden a «los ODS» en general.</t>
  </si>
  <si>
    <t xml:space="preserve">13 cuentas públicas legibles</t>
  </si>
  <si>
    <t xml:space="preserve">Ninguna nombra un ODS específico (Antofagasta menciona «los ODS» una vez).</t>
  </si>
  <si>
    <t xml:space="preserve">Niveles de integración ODS en las ERD</t>
  </si>
  <si>
    <t xml:space="preserve">El documento no menciona los ODS ni la Agenda 2030.</t>
  </si>
  <si>
    <t xml:space="preserve">Menciona los ODS en general, sin asociar ODS específicos a su contenido.</t>
  </si>
  <si>
    <t xml:space="preserve">Asocia ODS específicos a ejes, lineamientos, desafíos u objetivos (sistemática o parcialmente).</t>
  </si>
  <si>
    <t xml:space="preserve">Además asigna ODS a indicadores de seguimiento con fórmula y plazo.</t>
  </si>
  <si>
    <t xml:space="preserve">Nota: Maule se codifica en nivel 2 por vínculos puntuales; su alineamiento sistemático se anuncia (p. 13) pero no se presenta en el documento. Caso a revisar por el segundo codificador.</t>
  </si>
  <si>
    <t xml:space="preserve">Segunda codificación del mapa 17 ODS (ERD con texto legible)</t>
  </si>
  <si>
    <t xml:space="preserve">Oculte la columna D antes de empezar. Para cada fila, abra la ERD, busque el ODS por número y por nombre, y anote 0 (no aparece), 1 (solo contexto) o 2 (vinculado a eje, lineamiento, objetivo o indicador).</t>
  </si>
  <si>
    <t xml:space="preserve">Código cod. 1</t>
  </si>
  <si>
    <t xml:space="preserve">Código cod. 2</t>
  </si>
  <si>
    <t xml:space="preserve">Página / nota cod. 2</t>
  </si>
  <si>
    <t xml:space="preserve">1. Fin de la pobreza</t>
  </si>
  <si>
    <t xml:space="preserve">2. Hambre cero</t>
  </si>
  <si>
    <t xml:space="preserve">3. Salud y bienestar</t>
  </si>
  <si>
    <t xml:space="preserve">4. Educación de calidad</t>
  </si>
  <si>
    <t xml:space="preserve">5. Igualdad de género</t>
  </si>
  <si>
    <t xml:space="preserve">6. Agua limpia y saneamiento</t>
  </si>
  <si>
    <t xml:space="preserve">7. Energía asequible</t>
  </si>
  <si>
    <t xml:space="preserve">8. Trabajo decente y crecimiento</t>
  </si>
  <si>
    <t xml:space="preserve">9. Industria, innovación e infraestructura</t>
  </si>
  <si>
    <t xml:space="preserve">10. Reducción de las desigualdades</t>
  </si>
  <si>
    <t xml:space="preserve">11. Ciudades y comunidades sostenibles</t>
  </si>
  <si>
    <t xml:space="preserve">12. Producción y consumo responsables</t>
  </si>
  <si>
    <t xml:space="preserve">13. Acción por el clima</t>
  </si>
  <si>
    <t xml:space="preserve">14. Vida submarina</t>
  </si>
  <si>
    <t xml:space="preserve">15. Vida de ecosistemas terrestres</t>
  </si>
  <si>
    <t xml:space="preserve">16. Paz, justicia e instituciones sólidas</t>
  </si>
  <si>
    <t xml:space="preserve">17. Alianzas para lograr los objetivos</t>
  </si>
  <si>
    <t xml:space="preserve">Ítems codificados por cod. 2</t>
  </si>
  <si>
    <t xml:space="preserve">Acuerdo observado (po)</t>
  </si>
  <si>
    <t xml:space="preserve">Acuerdo esperado por azar (pe)</t>
  </si>
  <si>
    <t xml:space="preserve">κ de Cohen = (po − pe) / (1 − pe)</t>
  </si>
  <si>
    <t xml:space="preserve">Criterio: κ ≥ 0,70 aceptable; ≥ 0,80 bueno. Si es menor, discutir los desacuerdos, precisar la regla y recodificar.</t>
  </si>
  <si>
    <t xml:space="preserve">Cambios del 29-09-2026 (Claude) para alinear la planilla con el paper VFinal (búsqueda dirigida del 28-09)</t>
  </si>
  <si>
    <t xml:space="preserve">Cada celda modificada tiene un comentario con el valor anterior. Celdas amarillas en «Documentos» = conteos pendientes de los 6 documentos nuevos.</t>
  </si>
  <si>
    <t xml:space="preserve">Hoja</t>
  </si>
  <si>
    <t xml:space="preserve">Celda</t>
  </si>
  <si>
    <t xml:space="preserve">Valor anterior</t>
  </si>
  <si>
    <t xml:space="preserve">Valor nuevo</t>
  </si>
  <si>
    <t xml:space="preserve">Motivo</t>
  </si>
  <si>
    <t xml:space="preserve">Resumen_GORE</t>
  </si>
  <si>
    <t xml:space="preserve">F5</t>
  </si>
  <si>
    <t xml:space="preserve">ERD de Arica y Parinacota 2017-2030 hallada en el sitio web anterior del GORE; vincula los 17 ODS (peldaño 2). Documento incorporado en la búsqueda dirigida del 28-09-2026 (fuera de las páginas institucionales), como informa el paper VFinal.</t>
  </si>
  <si>
    <t xml:space="preserve">F12</t>
  </si>
  <si>
    <t xml:space="preserve">ERD de O'Higgins hallada en una ruta no enlazada; sin términos ODS. Documento incorporado en la búsqueda dirigida del 28-09-2026 (fuera de las páginas institucionales), como informa el paper VFinal.</t>
  </si>
  <si>
    <t xml:space="preserve">E15</t>
  </si>
  <si>
    <t xml:space="preserve">Cuenta pública de Biobío hallada (presentación enlazada desde un banner); sin menciones. Pendiente revisión visual (mayormente imagen). Documento incorporado en la búsqueda dirigida del 28-09-2026 (fuera de las páginas institucionales), como informa el paper VFinal.</t>
  </si>
  <si>
    <t xml:space="preserve">E16</t>
  </si>
  <si>
    <t xml:space="preserve">Cuenta pública de La Araucanía 2024 hallada (la de 2025 solo existe en video); sin menciones. Documento incorporado en la búsqueda dirigida del 28-09-2026 (fuera de las páginas institucionales), como informa el paper VFinal.</t>
  </si>
  <si>
    <t xml:space="preserve">F17</t>
  </si>
  <si>
    <t xml:space="preserve">ERD de Los Ríos 2023-2037 hallada en erdlosrios.cl; solo nombra los ODS en una cita de la UNESCO (p. 84): declarativa. Documento incorporado en la búsqueda dirigida del 28-09-2026 (fuera de las páginas institucionales), como informa el paper VFinal.</t>
  </si>
  <si>
    <t xml:space="preserve">F19</t>
  </si>
  <si>
    <t xml:space="preserve">ERD de Aysén hallada en «Documentación de interés»; sin términos ODS. Documento incorporado en la búsqueda dirigida del 28-09-2026 (fuera de las páginas institucionales), como informa el paper VFinal.</t>
  </si>
  <si>
    <t xml:space="preserve">E21</t>
  </si>
  <si>
    <t xml:space="preserve">Total actualizado (15 cuentas públicas disponibles).</t>
  </si>
  <si>
    <t xml:space="preserve">F21</t>
  </si>
  <si>
    <t xml:space="preserve">Total actualizado (16 ERD disponibles).</t>
  </si>
  <si>
    <t xml:space="preserve">Documentos</t>
  </si>
  <si>
    <t xml:space="preserve">C6</t>
  </si>
  <si>
    <t xml:space="preserve">No localizada en el sitio web (búsqueda interna «estrategia» y secciones de planificación)</t>
  </si>
  <si>
    <t xml:space="preserve">Documento incorporado en la búsqueda dirigida del 28-09-2026 (fuera de las páginas institucionales), como informa el paper VFinal.</t>
  </si>
  <si>
    <t xml:space="preserve">O6</t>
  </si>
  <si>
    <t xml:space="preserve">Clasificación según el paper VFinal (Tabla 5).</t>
  </si>
  <si>
    <t xml:space="preserve">P6</t>
  </si>
  <si>
    <t xml:space="preserve">Barrera de acceso: la ERD vigente no está publicada o no es localizable desde el sitio.</t>
  </si>
  <si>
    <t xml:space="preserve">Nota actualizada.</t>
  </si>
  <si>
    <t xml:space="preserve">C20</t>
  </si>
  <si>
    <t xml:space="preserve">No disponible como documento: la página «Estrategia Regional de Desarrollo» está vacía y solo se ofrece un archivo comprimido (estrategias_regionales.zip)</t>
  </si>
  <si>
    <t xml:space="preserve">O20</t>
  </si>
  <si>
    <t xml:space="preserve">P20</t>
  </si>
  <si>
    <t xml:space="preserve">Barrera de acceso: sin versión consultable en línea.</t>
  </si>
  <si>
    <t xml:space="preserve">C25</t>
  </si>
  <si>
    <t xml:space="preserve">Cuenta Pública 2026 (Sesión extraordinaria N.° 4-2026 del CORE): solo video en YouTube</t>
  </si>
  <si>
    <t xml:space="preserve">O25</t>
  </si>
  <si>
    <t xml:space="preserve">P25</t>
  </si>
  <si>
    <t xml:space="preserve">Sin documento descargable de la cuenta 2026 (solo video: youtube.com/watch?v=p4m4SXZs8Zc). La presentación 2025 en PDF fue identificada por el cod. 1 pero no pudo procesarse (bloqueo CSP) y no fue hallada por la cod. 2 (24-09-2026). Barrera de acceso.</t>
  </si>
  <si>
    <t xml:space="preserve">Búsqueda dirigida 28-09. Documento mayormente en imágenes: requiere revisión visual (tarea B9). Conteos por término pendientes.</t>
  </si>
  <si>
    <t xml:space="preserve">C28</t>
  </si>
  <si>
    <t xml:space="preserve">Cuenta Pública 2025 (28-05-2026): solo transmisión en YouTube</t>
  </si>
  <si>
    <t xml:space="preserve">Cuenta Pública La Araucanía 2024 (la de 2025 existe solo en video)</t>
  </si>
  <si>
    <t xml:space="preserve">O28</t>
  </si>
  <si>
    <t xml:space="preserve">P28</t>
  </si>
  <si>
    <t xml:space="preserve">Sin documento descargable: barrera de acceso.</t>
  </si>
  <si>
    <t xml:space="preserve">C31</t>
  </si>
  <si>
    <t xml:space="preserve">ERD no publicada en el sitio (en elaboración; CORE aprobó programa de participación el 28-07-2026)</t>
  </si>
  <si>
    <t xml:space="preserve">O31</t>
  </si>
  <si>
    <t xml:space="preserve">P31</t>
  </si>
  <si>
    <t xml:space="preserve">Barrera de acceso: sin ERD vigente descargable en el sitio.</t>
  </si>
  <si>
    <t xml:space="preserve">C35</t>
  </si>
  <si>
    <t xml:space="preserve">ERD no localizada en el sitio (Documentación de interés, buscador, historial)</t>
  </si>
  <si>
    <t xml:space="preserve">O35</t>
  </si>
  <si>
    <t xml:space="preserve">P35</t>
  </si>
  <si>
    <t xml:space="preserve">Barrera de acceso.</t>
  </si>
  <si>
    <t xml:space="preserve">Mapa_17_ODS</t>
  </si>
  <si>
    <t xml:space="preserve">B6</t>
  </si>
  <si>
    <t xml:space="preserve">ERD no localizada</t>
  </si>
  <si>
    <t xml:space="preserve">Peldaño según el paper VFinal (Tabla 5).</t>
  </si>
  <si>
    <t xml:space="preserve">X6</t>
  </si>
  <si>
    <t xml:space="preserve">Sin documento publicado.</t>
  </si>
  <si>
    <t xml:space="preserve">Evidencia del paper VFinal.</t>
  </si>
  <si>
    <t xml:space="preserve">B13</t>
  </si>
  <si>
    <t xml:space="preserve">ERD solo en .zip</t>
  </si>
  <si>
    <t xml:space="preserve">C13</t>
  </si>
  <si>
    <t xml:space="preserve">X13</t>
  </si>
  <si>
    <t xml:space="preserve">Sin versión consultable en línea.</t>
  </si>
  <si>
    <t xml:space="preserve">B18</t>
  </si>
  <si>
    <t xml:space="preserve">ERD en elaboración</t>
  </si>
  <si>
    <t xml:space="preserve">C18</t>
  </si>
  <si>
    <t xml:space="preserve">X18</t>
  </si>
  <si>
    <t xml:space="preserve">Sin ERD vigente publicada.</t>
  </si>
  <si>
    <t xml:space="preserve">B20</t>
  </si>
  <si>
    <t xml:space="preserve">X20</t>
  </si>
  <si>
    <t xml:space="preserve">D6:T6, D13:T13, D18:T18, D20:T20</t>
  </si>
  <si>
    <t xml:space="preserve">–</t>
  </si>
  <si>
    <t xml:space="preserve">códigos 0/2</t>
  </si>
  <si>
    <t xml:space="preserve">Arica: 2 en los 17 ODS (el paper dice que vincula los 17); O'Higgins, Los Ríos y Aysén: 0. Coincide con los Gráficos 2 y 3 del paper.</t>
  </si>
  <si>
    <t xml:space="preserve">Graficos_ODS</t>
  </si>
  <si>
    <t xml:space="preserve">6.0</t>
  </si>
  <si>
    <t xml:space="preserve">Ahora con fórmula enlazada a Resumen_GORE.</t>
  </si>
  <si>
    <t xml:space="preserve">2.0</t>
  </si>
  <si>
    <t xml:space="preserve">D6</t>
  </si>
  <si>
    <t xml:space="preserve">4.0</t>
  </si>
  <si>
    <t xml:space="preserve">E6</t>
  </si>
  <si>
    <t xml:space="preserve">B7</t>
  </si>
  <si>
    <t xml:space="preserve">0.0</t>
  </si>
  <si>
    <t xml:space="preserve">C7</t>
  </si>
  <si>
    <t xml:space="preserve">1.0</t>
  </si>
  <si>
    <t xml:space="preserve">D7</t>
  </si>
  <si>
    <t xml:space="preserve">12.0</t>
  </si>
  <si>
    <t xml:space="preserve">E7</t>
  </si>
  <si>
    <t xml:space="preserve">3.0</t>
  </si>
  <si>
    <t xml:space="preserve">B8</t>
  </si>
  <si>
    <t xml:space="preserve">Fórmula.</t>
  </si>
  <si>
    <t xml:space="preserve">C8</t>
  </si>
  <si>
    <t xml:space="preserve">11.0</t>
  </si>
  <si>
    <t xml:space="preserve">D8</t>
  </si>
  <si>
    <t xml:space="preserve">E8</t>
  </si>
  <si>
    <t xml:space="preserve">0</t>
  </si>
  <si>
    <t xml:space="preserve">Sin cambio de valor.</t>
  </si>
  <si>
    <t xml:space="preserve">A12</t>
  </si>
  <si>
    <t xml:space="preserve">Figura 6. N.º de ERD que vinculan cada ODS (de 12 disponibles)</t>
  </si>
  <si>
    <t xml:space="preserve">Todas las ERD quedaron disponibles tras la búsqueda dirigida.</t>
  </si>
  <si>
    <t xml:space="preserve">B14</t>
  </si>
  <si>
    <t xml:space="preserve">Fórmula enlazada al mapa.</t>
  </si>
  <si>
    <t xml:space="preserve">C14</t>
  </si>
  <si>
    <t xml:space="preserve">B15</t>
  </si>
  <si>
    <t xml:space="preserve">C15</t>
  </si>
  <si>
    <t xml:space="preserve">B16</t>
  </si>
  <si>
    <t xml:space="preserve">5.0</t>
  </si>
  <si>
    <t xml:space="preserve">C16</t>
  </si>
  <si>
    <t xml:space="preserve">B17</t>
  </si>
  <si>
    <t xml:space="preserve">C17</t>
  </si>
  <si>
    <t xml:space="preserve">B19</t>
  </si>
  <si>
    <t xml:space="preserve">C19</t>
  </si>
  <si>
    <t xml:space="preserve">B21</t>
  </si>
  <si>
    <t xml:space="preserve">C21</t>
  </si>
  <si>
    <t xml:space="preserve">B22</t>
  </si>
  <si>
    <t xml:space="preserve">C22</t>
  </si>
  <si>
    <t xml:space="preserve">B23</t>
  </si>
  <si>
    <t xml:space="preserve">C23</t>
  </si>
  <si>
    <t xml:space="preserve">B24</t>
  </si>
  <si>
    <t xml:space="preserve">C24</t>
  </si>
  <si>
    <t xml:space="preserve">B25</t>
  </si>
  <si>
    <t xml:space="preserve">B26</t>
  </si>
  <si>
    <t xml:space="preserve">C26</t>
  </si>
  <si>
    <t xml:space="preserve">B27</t>
  </si>
  <si>
    <t xml:space="preserve">C27</t>
  </si>
  <si>
    <t xml:space="preserve">B28</t>
  </si>
  <si>
    <t xml:space="preserve">B29</t>
  </si>
  <si>
    <t xml:space="preserve">C29</t>
  </si>
  <si>
    <t xml:space="preserve">B30</t>
  </si>
  <si>
    <t xml:space="preserve">C30</t>
  </si>
  <si>
    <t xml:space="preserve">PENDIENTES</t>
  </si>
  <si>
    <t xml:space="preserve">Conteos por término (columnas E-N de Documentos) de los 6 documentos hallados en la búsqueda dirigida.</t>
  </si>
  <si>
    <t xml:space="preserve">Agregar a «Menciones» las 3 menciones de los documentos nuevos (p. ej., Arica p. 165; Los Ríos p. 84) y su segunda codificación.</t>
  </si>
  <si>
    <t xml:space="preserve">Mapa ciego: el coautor debe codificar también la ERD de Arica y Parinacota (y confirmar O'Higgins, Los Ríos y Aysén).</t>
  </si>
  <si>
    <t xml:space="preserve">Actualizar las imágenes de la derecha de esta hoja y de Figuras_paper en Datos_y_graficos con los Gráficos 1-3 del paper VFinal.</t>
  </si>
  <si>
    <t xml:space="preserve">Cambios del 07-10-2026: cuenta pública 2025 de La Araucanía (de «No disponible» a «Sin mención»)</t>
  </si>
  <si>
    <t xml:space="preserve">Cada celda modificada tiene un comentario con el valor anterior. Cuentas públicas disponibles: 14 (antes 13).</t>
  </si>
  <si>
    <t xml:space="preserve">Cuenta pública 2025 hallada en un visor embebido (Heyzine) en gorearaucania.cl/cuentas-publicas.</t>
  </si>
  <si>
    <t xml:space="preserve">D28</t>
  </si>
  <si>
    <t xml:space="preserve">https://gorearaucania.cl/noticias/2026-05-28/gobernador-rene-saffirio-destaca-ejecucion-historica-del-96-y-transparencia-institucional-en-su-cuenta-publica</t>
  </si>
  <si>
    <t xml:space="preserve">E28</t>
  </si>
  <si>
    <t xml:space="preserve">None</t>
  </si>
  <si>
    <t xml:space="preserve">70</t>
  </si>
  <si>
    <t xml:space="preserve">Conteo del PDF original.</t>
  </si>
  <si>
    <t xml:space="preserve">F28</t>
  </si>
  <si>
    <t xml:space="preserve">95923</t>
  </si>
  <si>
    <t xml:space="preserve">H28</t>
  </si>
  <si>
    <t xml:space="preserve">Conteo por término (ods_terminos.py).</t>
  </si>
  <si>
    <t xml:space="preserve">I28</t>
  </si>
  <si>
    <t xml:space="preserve">J28</t>
  </si>
  <si>
    <t xml:space="preserve">K28</t>
  </si>
  <si>
    <t xml:space="preserve">L28</t>
  </si>
  <si>
    <t xml:space="preserve">4</t>
  </si>
  <si>
    <t xml:space="preserve">M28</t>
  </si>
  <si>
    <t xml:space="preserve">3</t>
  </si>
  <si>
    <t xml:space="preserve">N28</t>
  </si>
  <si>
    <t xml:space="preserve">Cuenta pública 2025 hallada en un visor embebido (Heyzine) en gorearaucania.cl/cuentas-publicas. Sin términos ODS núcleo.</t>
  </si>
  <si>
    <t xml:space="preserve">Revisión 29-09: la cuenta pública no se encontró como documento descargable.</t>
  </si>
  <si>
    <t xml:space="preserve">Q28</t>
  </si>
  <si>
    <t xml:space="preserve">Fecha de la revisión.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</si>
</sst>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.00"/>
    <numFmt numFmtId="167" formatCode="dd\-mm\-yyyy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b val="true"/>
      <sz val="13"/>
      <color rgb="FF1C5CAB"/>
      <name val="Arial"/>
      <family val="0"/>
      <charset val="1"/>
    </font>
    <font>
      <i val="true"/>
      <sz val="9"/>
      <color theme="1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  <font>
      <i val="true"/>
      <sz val="7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sz val="9"/>
      <color theme="1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C5CAB"/>
        <bgColor rgb="FF3366FF"/>
      </patternFill>
    </fill>
    <fill>
      <patternFill patternType="solid">
        <fgColor rgb="FFFFF7CC"/>
        <bgColor rgb="FFFFF2CC"/>
      </patternFill>
    </fill>
    <fill>
      <patternFill patternType="solid">
        <fgColor rgb="FFFFF2CC"/>
        <bgColor rgb="FFFFF7CC"/>
      </patternFill>
    </fill>
    <fill>
      <patternFill patternType="solid">
        <fgColor rgb="FFE8EEF7"/>
        <bgColor rgb="FFEDEDED"/>
      </patternFill>
    </fill>
    <fill>
      <patternFill patternType="solid">
        <fgColor rgb="FFEDEDED"/>
        <bgColor rgb="FFE8EE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9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FFFFFF"/>
      </font>
      <fill>
        <patternFill>
          <bgColor rgb="FF1C5CAB"/>
        </patternFill>
      </fill>
    </dxf>
    <dxf>
      <fill>
        <patternFill>
          <bgColor rgb="FFA9C4EB"/>
        </patternFill>
      </fill>
    </dxf>
    <dxf>
      <font>
        <color rgb="FFBFBFB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6B6EF"/>
      <rgbColor rgb="FFC0504D"/>
      <rgbColor rgb="FFFFF7CC"/>
      <rgbColor rgb="FFE8EEF7"/>
      <rgbColor rgb="FF660066"/>
      <rgbColor rgb="FFFF8080"/>
      <rgbColor rgb="FF1C5CAB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1DD"/>
      <rgbColor rgb="FFFFF2CC"/>
      <rgbColor rgb="FFA9C4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B7B7B7"/>
      <rgbColor rgb="FF003366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Vinculación con los ODS por fuente (16 GORE)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"Sustantiva"</c:f>
              <c:strCache>
                <c:ptCount val="1"/>
                <c:pt idx="0">
                  <c:v>Sustantiva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Graficos_ODS!$A$6:$A$8</c:f>
              <c:strCache>
                <c:ptCount val="3"/>
                <c:pt idx="0">
                  <c:v>ERD (planificación)</c:v>
                </c:pt>
                <c:pt idx="1">
                  <c:v>Cuenta pública (rendición de cuentas)</c:v>
                </c:pt>
                <c:pt idx="2">
                  <c:v>Sitio web (comunicación)</c:v>
                </c:pt>
              </c:strCache>
            </c:strRef>
          </c:cat>
          <c:val>
            <c:numRef>
              <c:f>Graficos_ODS!$B$6:$B$8</c:f>
              <c:numCache>
                <c:formatCode>General</c:formatCode>
                <c:ptCount val="3"/>
                <c:pt idx="0">
                  <c:v>7</c:v>
                </c:pt>
                <c:pt idx="1">
                  <c:v>0</c:v>
                </c:pt>
                <c:pt idx="2">
                  <c:v>2</c:v>
                </c:pt>
              </c:numCache>
            </c:numRef>
          </c:val>
        </c:ser>
        <c:ser>
          <c:idx val="1"/>
          <c:order val="1"/>
          <c:tx>
            <c:strRef>
              <c:f>"Retórica"</c:f>
              <c:strCache>
                <c:ptCount val="1"/>
                <c:pt idx="0">
                  <c:v>Retórica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Graficos_ODS!$A$6:$A$8</c:f>
              <c:strCache>
                <c:ptCount val="3"/>
                <c:pt idx="0">
                  <c:v>ERD (planificación)</c:v>
                </c:pt>
                <c:pt idx="1">
                  <c:v>Cuenta pública (rendición de cuentas)</c:v>
                </c:pt>
                <c:pt idx="2">
                  <c:v>Sitio web (comunicación)</c:v>
                </c:pt>
              </c:strCache>
            </c:strRef>
          </c:cat>
          <c:val>
            <c:numRef>
              <c:f>Graficos_ODS!$C$6:$C$8</c:f>
              <c:numCache>
                <c:formatCode>General</c:formatCode>
                <c:ptCount val="3"/>
                <c:pt idx="0">
                  <c:v>3</c:v>
                </c:pt>
                <c:pt idx="1">
                  <c:v>1</c:v>
                </c:pt>
                <c:pt idx="2">
                  <c:v>11</c:v>
                </c:pt>
              </c:numCache>
            </c:numRef>
          </c:val>
        </c:ser>
        <c:ser>
          <c:idx val="2"/>
          <c:order val="2"/>
          <c:tx>
            <c:strRef>
              <c:f>"Sin mención"</c:f>
              <c:strCache>
                <c:ptCount val="1"/>
                <c:pt idx="0">
                  <c:v>Sin mención</c:v>
                </c:pt>
              </c:strCache>
            </c:strRef>
          </c:tx>
          <c:spPr>
            <a:solidFill>
              <a:srgbClr val="E2E1D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Graficos_ODS!$A$6:$A$8</c:f>
              <c:strCache>
                <c:ptCount val="3"/>
                <c:pt idx="0">
                  <c:v>ERD (planificación)</c:v>
                </c:pt>
                <c:pt idx="1">
                  <c:v>Cuenta pública (rendición de cuentas)</c:v>
                </c:pt>
                <c:pt idx="2">
                  <c:v>Sitio web (comunicación)</c:v>
                </c:pt>
              </c:strCache>
            </c:strRef>
          </c:cat>
          <c:val>
            <c:numRef>
              <c:f>Graficos_ODS!$D$6:$D$8</c:f>
              <c:numCache>
                <c:formatCode>General</c:formatCode>
                <c:ptCount val="3"/>
                <c:pt idx="0">
                  <c:v>6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ser>
          <c:idx val="3"/>
          <c:order val="3"/>
          <c:tx>
            <c:strRef>
              <c:f>"No disponible"</c:f>
              <c:strCache>
                <c:ptCount val="1"/>
                <c:pt idx="0">
                  <c:v>No disponible</c:v>
                </c:pt>
              </c:strCache>
            </c:strRef>
          </c:tx>
          <c:spPr>
            <a:solidFill>
              <a:srgbClr val="FFFFF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Graficos_ODS!$A$6:$A$8</c:f>
              <c:strCache>
                <c:ptCount val="3"/>
                <c:pt idx="0">
                  <c:v>ERD (planificación)</c:v>
                </c:pt>
                <c:pt idx="1">
                  <c:v>Cuenta pública (rendición de cuentas)</c:v>
                </c:pt>
                <c:pt idx="2">
                  <c:v>Sitio web (comunicación)</c:v>
                </c:pt>
              </c:strCache>
            </c:strRef>
          </c:cat>
          <c:val>
            <c:numRef>
              <c:f>Graficos_ODS!$E$6:$E$8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gapWidth val="150"/>
        <c:overlap val="100"/>
        <c:axId val="90228663"/>
        <c:axId val="79254232"/>
      </c:barChart>
      <c:catAx>
        <c:axId val="90228663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9254232"/>
        <c:crosses val="autoZero"/>
        <c:auto val="1"/>
        <c:lblAlgn val="ctr"/>
        <c:lblOffset val="100"/>
        <c:noMultiLvlLbl val="0"/>
      </c:catAx>
      <c:valAx>
        <c:axId val="79254232"/>
        <c:scaling>
          <c:orientation val="minMax"/>
          <c:max val="16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90228663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ERD que vinculan cada 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"Vinculado a eje, objetivo o indicador"</c:f>
              <c:strCache>
                <c:ptCount val="1"/>
                <c:pt idx="0">
                  <c:v>Vinculado a eje, objetivo o indicador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Graficos_ODS!$A$14:$A$30</c:f>
              <c:strCache>
                <c:ptCount val="17"/>
                <c:pt idx="0">
                  <c:v>ODS 1</c:v>
                </c:pt>
                <c:pt idx="1">
                  <c:v>ODS 2</c:v>
                </c:pt>
                <c:pt idx="2">
                  <c:v>ODS 3</c:v>
                </c:pt>
                <c:pt idx="3">
                  <c:v>ODS 4</c:v>
                </c:pt>
                <c:pt idx="4">
                  <c:v>ODS 5</c:v>
                </c:pt>
                <c:pt idx="5">
                  <c:v>ODS 6</c:v>
                </c:pt>
                <c:pt idx="6">
                  <c:v>ODS 7</c:v>
                </c:pt>
                <c:pt idx="7">
                  <c:v>ODS 8</c:v>
                </c:pt>
                <c:pt idx="8">
                  <c:v>ODS 9</c:v>
                </c:pt>
                <c:pt idx="9">
                  <c:v>ODS 10</c:v>
                </c:pt>
                <c:pt idx="10">
                  <c:v>ODS 11</c:v>
                </c:pt>
                <c:pt idx="11">
                  <c:v>ODS 12</c:v>
                </c:pt>
                <c:pt idx="12">
                  <c:v>ODS 13</c:v>
                </c:pt>
                <c:pt idx="13">
                  <c:v>ODS 14</c:v>
                </c:pt>
                <c:pt idx="14">
                  <c:v>ODS 15</c:v>
                </c:pt>
                <c:pt idx="15">
                  <c:v>ODS 16</c:v>
                </c:pt>
                <c:pt idx="16">
                  <c:v>ODS 17</c:v>
                </c:pt>
              </c:strCache>
            </c:strRef>
          </c:cat>
          <c:val>
            <c:numRef>
              <c:f>Graficos_ODS!$B$14:$B$30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</c:numCache>
            </c:numRef>
          </c:val>
        </c:ser>
        <c:ser>
          <c:idx val="1"/>
          <c:order val="1"/>
          <c:tx>
            <c:strRef>
              <c:f>"Nombrado como contexto"</c:f>
              <c:strCache>
                <c:ptCount val="1"/>
                <c:pt idx="0">
                  <c:v>Nombrado como contexto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Graficos_ODS!$A$14:$A$30</c:f>
              <c:strCache>
                <c:ptCount val="17"/>
                <c:pt idx="0">
                  <c:v>ODS 1</c:v>
                </c:pt>
                <c:pt idx="1">
                  <c:v>ODS 2</c:v>
                </c:pt>
                <c:pt idx="2">
                  <c:v>ODS 3</c:v>
                </c:pt>
                <c:pt idx="3">
                  <c:v>ODS 4</c:v>
                </c:pt>
                <c:pt idx="4">
                  <c:v>ODS 5</c:v>
                </c:pt>
                <c:pt idx="5">
                  <c:v>ODS 6</c:v>
                </c:pt>
                <c:pt idx="6">
                  <c:v>ODS 7</c:v>
                </c:pt>
                <c:pt idx="7">
                  <c:v>ODS 8</c:v>
                </c:pt>
                <c:pt idx="8">
                  <c:v>ODS 9</c:v>
                </c:pt>
                <c:pt idx="9">
                  <c:v>ODS 10</c:v>
                </c:pt>
                <c:pt idx="10">
                  <c:v>ODS 11</c:v>
                </c:pt>
                <c:pt idx="11">
                  <c:v>ODS 12</c:v>
                </c:pt>
                <c:pt idx="12">
                  <c:v>ODS 13</c:v>
                </c:pt>
                <c:pt idx="13">
                  <c:v>ODS 14</c:v>
                </c:pt>
                <c:pt idx="14">
                  <c:v>ODS 15</c:v>
                </c:pt>
                <c:pt idx="15">
                  <c:v>ODS 16</c:v>
                </c:pt>
                <c:pt idx="16">
                  <c:v>ODS 17</c:v>
                </c:pt>
              </c:strCache>
            </c:strRef>
          </c:cat>
          <c:val>
            <c:numRef>
              <c:f>Graficos_ODS!$C$14:$C$30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gapWidth val="150"/>
        <c:overlap val="100"/>
        <c:axId val="343928"/>
        <c:axId val="80515079"/>
      </c:barChart>
      <c:catAx>
        <c:axId val="343928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0515079"/>
        <c:crosses val="autoZero"/>
        <c:auto val="1"/>
        <c:lblAlgn val="ctr"/>
        <c:lblOffset val="100"/>
        <c:noMultiLvlLbl val="0"/>
      </c:catAx>
      <c:valAx>
        <c:axId val="80515079"/>
        <c:scaling>
          <c:orientation val="minMax"/>
          <c:max val="12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343928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Menciones ODS en el sitio web por GORE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"Sustantiva"</c:f>
              <c:strCache>
                <c:ptCount val="1"/>
                <c:pt idx="0">
                  <c:v>Sustantiva</c:v>
                </c:pt>
              </c:strCache>
            </c:strRef>
          </c:tx>
          <c:spPr>
            <a:solidFill>
              <a:srgbClr val="1C5CAB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Graficos_ODS!$A$35:$A$50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O'Higgins</c:v>
                </c:pt>
                <c:pt idx="8">
                  <c:v>Maule</c:v>
                </c:pt>
                <c:pt idx="9">
                  <c:v>Ñuble</c:v>
                </c:pt>
                <c:pt idx="10">
                  <c:v>Biobío</c:v>
                </c:pt>
                <c:pt idx="11">
                  <c:v>La 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Graficos_ODS!$B$35:$B$50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ser>
          <c:idx val="1"/>
          <c:order val="1"/>
          <c:tx>
            <c:strRef>
              <c:f>"Retórica"</c:f>
              <c:strCache>
                <c:ptCount val="1"/>
                <c:pt idx="0">
                  <c:v>Retórica</c:v>
                </c:pt>
              </c:strCache>
            </c:strRef>
          </c:tx>
          <c:spPr>
            <a:solidFill>
              <a:srgbClr val="86B6EF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Graficos_ODS!$A$35:$A$50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O'Higgins</c:v>
                </c:pt>
                <c:pt idx="8">
                  <c:v>Maule</c:v>
                </c:pt>
                <c:pt idx="9">
                  <c:v>Ñuble</c:v>
                </c:pt>
                <c:pt idx="10">
                  <c:v>Biobío</c:v>
                </c:pt>
                <c:pt idx="11">
                  <c:v>La 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Graficos_ODS!$C$35:$C$50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gapWidth val="150"/>
        <c:overlap val="100"/>
        <c:axId val="77221249"/>
        <c:axId val="17155656"/>
      </c:barChart>
      <c:catAx>
        <c:axId val="77221249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7155656"/>
        <c:crosses val="autoZero"/>
        <c:auto val="1"/>
        <c:lblAlgn val="ctr"/>
        <c:lblOffset val="100"/>
        <c:noMultiLvlLbl val="0"/>
      </c:catAx>
      <c:valAx>
        <c:axId val="1715565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722124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Menciones ODS en sitios web por GORE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"Web: retóricas"</c:f>
              <c:strCache>
                <c:ptCount val="1"/>
                <c:pt idx="0">
                  <c:v>Web: retóricas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Resumen_GORE!$A$5:$A$20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O'Higgins</c:v>
                </c:pt>
                <c:pt idx="8">
                  <c:v>Maule</c:v>
                </c:pt>
                <c:pt idx="9">
                  <c:v>Ñuble</c:v>
                </c:pt>
                <c:pt idx="10">
                  <c:v>Biobío</c:v>
                </c:pt>
                <c:pt idx="11">
                  <c:v>La 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Resumen_GORE!$B$5:$B$20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7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</c:ser>
        <c:ser>
          <c:idx val="1"/>
          <c:order val="1"/>
          <c:tx>
            <c:strRef>
              <c:f>"Web: sustantivas"</c:f>
              <c:strCache>
                <c:ptCount val="1"/>
                <c:pt idx="0">
                  <c:v>Web: sustantivas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Resumen_GORE!$A$5:$A$20</c:f>
              <c:strCache>
                <c:ptCount val="16"/>
                <c:pt idx="0">
                  <c:v>Arica y Parinacota</c:v>
                </c:pt>
                <c:pt idx="1">
                  <c:v>Tarapacá</c:v>
                </c:pt>
                <c:pt idx="2">
                  <c:v>Antofagasta</c:v>
                </c:pt>
                <c:pt idx="3">
                  <c:v>Atacama</c:v>
                </c:pt>
                <c:pt idx="4">
                  <c:v>Coquimbo</c:v>
                </c:pt>
                <c:pt idx="5">
                  <c:v>Valparaíso</c:v>
                </c:pt>
                <c:pt idx="6">
                  <c:v>Metropolitana</c:v>
                </c:pt>
                <c:pt idx="7">
                  <c:v>O'Higgins</c:v>
                </c:pt>
                <c:pt idx="8">
                  <c:v>Maule</c:v>
                </c:pt>
                <c:pt idx="9">
                  <c:v>Ñuble</c:v>
                </c:pt>
                <c:pt idx="10">
                  <c:v>Biobío</c:v>
                </c:pt>
                <c:pt idx="11">
                  <c:v>La Araucanía</c:v>
                </c:pt>
                <c:pt idx="12">
                  <c:v>Los Ríos</c:v>
                </c:pt>
                <c:pt idx="13">
                  <c:v>Los Lagos</c:v>
                </c:pt>
                <c:pt idx="14">
                  <c:v>Aysén</c:v>
                </c:pt>
                <c:pt idx="15">
                  <c:v>Magallanes</c:v>
                </c:pt>
              </c:strCache>
            </c:strRef>
          </c:cat>
          <c:val>
            <c:numRef>
              <c:f>Resumen_GORE!$C$5:$C$20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</c:ser>
        <c:gapWidth val="150"/>
        <c:overlap val="100"/>
        <c:axId val="48665739"/>
        <c:axId val="17620669"/>
      </c:barChart>
      <c:catAx>
        <c:axId val="48665739"/>
        <c:scaling>
          <c:orientation val="maxMin"/>
        </c:scaling>
        <c:delete val="0"/>
        <c:axPos val="b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7620669"/>
        <c:crosses val="autoZero"/>
        <c:auto val="1"/>
        <c:lblAlgn val="ctr"/>
        <c:lblOffset val="100"/>
        <c:noMultiLvlLbl val="0"/>
      </c:catAx>
      <c:valAx>
        <c:axId val="17620669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N.º de menciones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8665739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Número de ERD que nombran cada ODS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Mapa_17_ODS!$D$4:$T$4</c:f>
              <c:strCache>
                <c:ptCount val="17"/>
                <c:pt idx="0">
                  <c:v>ODS 1</c:v>
                </c:pt>
                <c:pt idx="1">
                  <c:v>ODS 2</c:v>
                </c:pt>
                <c:pt idx="2">
                  <c:v>ODS 3</c:v>
                </c:pt>
                <c:pt idx="3">
                  <c:v>ODS 4</c:v>
                </c:pt>
                <c:pt idx="4">
                  <c:v>ODS 5</c:v>
                </c:pt>
                <c:pt idx="5">
                  <c:v>ODS 6</c:v>
                </c:pt>
                <c:pt idx="6">
                  <c:v>ODS 7</c:v>
                </c:pt>
                <c:pt idx="7">
                  <c:v>ODS 8</c:v>
                </c:pt>
                <c:pt idx="8">
                  <c:v>ODS 9</c:v>
                </c:pt>
                <c:pt idx="9">
                  <c:v>ODS 10</c:v>
                </c:pt>
                <c:pt idx="10">
                  <c:v>ODS 11</c:v>
                </c:pt>
                <c:pt idx="11">
                  <c:v>ODS 12</c:v>
                </c:pt>
                <c:pt idx="12">
                  <c:v>ODS 13</c:v>
                </c:pt>
                <c:pt idx="13">
                  <c:v>ODS 14</c:v>
                </c:pt>
                <c:pt idx="14">
                  <c:v>ODS 15</c:v>
                </c:pt>
                <c:pt idx="15">
                  <c:v>ODS 16</c:v>
                </c:pt>
                <c:pt idx="16">
                  <c:v>ODS 17</c:v>
                </c:pt>
              </c:strCache>
            </c:strRef>
          </c:cat>
          <c:val>
            <c:numRef>
              <c:f>Mapa_17_ODS!$D$22:$T$22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7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</c:numCache>
            </c:numRef>
          </c:val>
        </c:ser>
        <c:gapWidth val="150"/>
        <c:overlap val="0"/>
        <c:axId val="79868268"/>
        <c:axId val="56176736"/>
      </c:barChart>
      <c:catAx>
        <c:axId val="79868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None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56176736"/>
        <c:crosses val="autoZero"/>
        <c:auto val="1"/>
        <c:lblAlgn val="ctr"/>
        <c:lblOffset val="100"/>
        <c:noMultiLvlLbl val="0"/>
      </c:catAx>
      <c:valAx>
        <c:axId val="56176736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rPr>
                  <a:t>N.º de ERD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798682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5" Type="http://schemas.openxmlformats.org/officeDocument/2006/relationships/image" Target="../media/image2.png"/><Relationship Id="rId6" Type="http://schemas.openxmlformats.org/officeDocument/2006/relationships/image" Target="../media/image3.png"/><Relationship Id="rId7" Type="http://schemas.openxmlformats.org/officeDocument/2006/relationships/image" Target="../media/image4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156600</xdr:rowOff>
    </xdr:from>
    <xdr:to>
      <xdr:col>15</xdr:col>
      <xdr:colOff>563760</xdr:colOff>
      <xdr:row>13</xdr:row>
      <xdr:rowOff>186840</xdr:rowOff>
    </xdr:to>
    <xdr:graphicFrame>
      <xdr:nvGraphicFramePr>
        <xdr:cNvPr id="1" name="Chart 1"/>
        <xdr:cNvGraphicFramePr/>
      </xdr:nvGraphicFramePr>
      <xdr:xfrm>
        <a:off x="7571880" y="547200"/>
        <a:ext cx="5475960" cy="2373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26280</xdr:rowOff>
    </xdr:from>
    <xdr:to>
      <xdr:col>15</xdr:col>
      <xdr:colOff>563760</xdr:colOff>
      <xdr:row>34</xdr:row>
      <xdr:rowOff>53640</xdr:rowOff>
    </xdr:to>
    <xdr:graphicFrame>
      <xdr:nvGraphicFramePr>
        <xdr:cNvPr id="2" name="Chart 2"/>
        <xdr:cNvGraphicFramePr/>
      </xdr:nvGraphicFramePr>
      <xdr:xfrm>
        <a:off x="7571880" y="3141000"/>
        <a:ext cx="5475960" cy="378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35640</xdr:rowOff>
    </xdr:from>
    <xdr:to>
      <xdr:col>15</xdr:col>
      <xdr:colOff>563760</xdr:colOff>
      <xdr:row>55</xdr:row>
      <xdr:rowOff>15480</xdr:rowOff>
    </xdr:to>
    <xdr:graphicFrame>
      <xdr:nvGraphicFramePr>
        <xdr:cNvPr id="3" name="Chart 3"/>
        <xdr:cNvGraphicFramePr/>
      </xdr:nvGraphicFramePr>
      <xdr:xfrm>
        <a:off x="7571880" y="7303320"/>
        <a:ext cx="5475960" cy="37803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18</xdr:col>
      <xdr:colOff>0</xdr:colOff>
      <xdr:row>2</xdr:row>
      <xdr:rowOff>156600</xdr:rowOff>
    </xdr:from>
    <xdr:to>
      <xdr:col>27</xdr:col>
      <xdr:colOff>101880</xdr:colOff>
      <xdr:row>13</xdr:row>
      <xdr:rowOff>60120</xdr:rowOff>
    </xdr:to>
    <xdr:pic>
      <xdr:nvPicPr>
        <xdr:cNvPr id="4" name="image1.png" descr="Picture"/>
        <xdr:cNvPicPr/>
      </xdr:nvPicPr>
      <xdr:blipFill>
        <a:blip r:embed="rId4"/>
        <a:stretch/>
      </xdr:blipFill>
      <xdr:spPr>
        <a:xfrm>
          <a:off x="14326200" y="547200"/>
          <a:ext cx="5628240" cy="2246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16</xdr:row>
      <xdr:rowOff>25920</xdr:rowOff>
    </xdr:from>
    <xdr:to>
      <xdr:col>27</xdr:col>
      <xdr:colOff>101880</xdr:colOff>
      <xdr:row>30</xdr:row>
      <xdr:rowOff>167760</xdr:rowOff>
    </xdr:to>
    <xdr:pic>
      <xdr:nvPicPr>
        <xdr:cNvPr id="5" name="image2.png" descr="Picture"/>
        <xdr:cNvPicPr/>
      </xdr:nvPicPr>
      <xdr:blipFill>
        <a:blip r:embed="rId5"/>
        <a:stretch/>
      </xdr:blipFill>
      <xdr:spPr>
        <a:xfrm>
          <a:off x="14326200" y="3331080"/>
          <a:ext cx="5628240" cy="290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34</xdr:row>
      <xdr:rowOff>35640</xdr:rowOff>
    </xdr:from>
    <xdr:to>
      <xdr:col>27</xdr:col>
      <xdr:colOff>101880</xdr:colOff>
      <xdr:row>51</xdr:row>
      <xdr:rowOff>139320</xdr:rowOff>
    </xdr:to>
    <xdr:pic>
      <xdr:nvPicPr>
        <xdr:cNvPr id="6" name="image3.png" descr="Picture"/>
        <xdr:cNvPicPr/>
      </xdr:nvPicPr>
      <xdr:blipFill>
        <a:blip r:embed="rId6"/>
        <a:stretch/>
      </xdr:blipFill>
      <xdr:spPr>
        <a:xfrm>
          <a:off x="14326200" y="6903000"/>
          <a:ext cx="5628240" cy="3504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0</xdr:colOff>
      <xdr:row>54</xdr:row>
      <xdr:rowOff>35640</xdr:rowOff>
    </xdr:from>
    <xdr:to>
      <xdr:col>27</xdr:col>
      <xdr:colOff>101880</xdr:colOff>
      <xdr:row>71</xdr:row>
      <xdr:rowOff>139320</xdr:rowOff>
    </xdr:to>
    <xdr:pic>
      <xdr:nvPicPr>
        <xdr:cNvPr id="7" name="image4.png" descr="Picture"/>
        <xdr:cNvPicPr/>
      </xdr:nvPicPr>
      <xdr:blipFill>
        <a:blip r:embed="rId7"/>
        <a:stretch/>
      </xdr:blipFill>
      <xdr:spPr>
        <a:xfrm>
          <a:off x="14326200" y="10903680"/>
          <a:ext cx="5628240" cy="3504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171360</xdr:rowOff>
    </xdr:from>
    <xdr:to>
      <xdr:col>18</xdr:col>
      <xdr:colOff>30960</xdr:colOff>
      <xdr:row>20</xdr:row>
      <xdr:rowOff>113400</xdr:rowOff>
    </xdr:to>
    <xdr:graphicFrame>
      <xdr:nvGraphicFramePr>
        <xdr:cNvPr id="8" name="Chart 1"/>
        <xdr:cNvGraphicFramePr/>
      </xdr:nvGraphicFramePr>
      <xdr:xfrm>
        <a:off x="9424800" y="561960"/>
        <a:ext cx="6171120" cy="3609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33</xdr:row>
      <xdr:rowOff>133200</xdr:rowOff>
    </xdr:from>
    <xdr:to>
      <xdr:col>18</xdr:col>
      <xdr:colOff>96120</xdr:colOff>
      <xdr:row>48</xdr:row>
      <xdr:rowOff>150840</xdr:rowOff>
    </xdr:to>
    <xdr:graphicFrame>
      <xdr:nvGraphicFramePr>
        <xdr:cNvPr id="9" name="Chart 1"/>
        <xdr:cNvGraphicFramePr/>
      </xdr:nvGraphicFramePr>
      <xdr:xfrm>
        <a:off x="1127880" y="12486960"/>
        <a:ext cx="7437960" cy="301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3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0"/>
    <col collapsed="false" customWidth="true" hidden="false" outlineLevel="0" max="26" min="3" style="1" width="8.71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2</v>
      </c>
      <c r="B4" s="4" t="s">
        <v>3</v>
      </c>
    </row>
    <row r="5" customFormat="false" ht="43.5" hidden="false" customHeight="true" outlineLevel="0" collapsed="false">
      <c r="A5" s="5" t="s">
        <v>4</v>
      </c>
      <c r="B5" s="6" t="s">
        <v>5</v>
      </c>
    </row>
    <row r="6" customFormat="false" ht="43.5" hidden="false" customHeight="true" outlineLevel="0" collapsed="false">
      <c r="A6" s="5" t="s">
        <v>6</v>
      </c>
      <c r="B6" s="6" t="s">
        <v>7</v>
      </c>
    </row>
    <row r="7" customFormat="false" ht="43.5" hidden="false" customHeight="true" outlineLevel="0" collapsed="false">
      <c r="A7" s="5" t="s">
        <v>8</v>
      </c>
      <c r="B7" s="6" t="s">
        <v>9</v>
      </c>
    </row>
    <row r="8" customFormat="false" ht="43.5" hidden="false" customHeight="true" outlineLevel="0" collapsed="false">
      <c r="A8" s="5" t="s">
        <v>10</v>
      </c>
      <c r="B8" s="6" t="s">
        <v>11</v>
      </c>
    </row>
    <row r="9" customFormat="false" ht="43.5" hidden="false" customHeight="true" outlineLevel="0" collapsed="false">
      <c r="A9" s="5" t="s">
        <v>12</v>
      </c>
      <c r="B9" s="6" t="s">
        <v>13</v>
      </c>
    </row>
    <row r="10" customFormat="false" ht="43.5" hidden="false" customHeight="true" outlineLevel="0" collapsed="false">
      <c r="A10" s="5" t="s">
        <v>14</v>
      </c>
      <c r="B10" s="6" t="s">
        <v>15</v>
      </c>
    </row>
    <row r="11" customFormat="false" ht="43.5" hidden="false" customHeight="true" outlineLevel="0" collapsed="false">
      <c r="A11" s="5" t="s">
        <v>16</v>
      </c>
      <c r="B11" s="6" t="s">
        <v>17</v>
      </c>
    </row>
    <row r="12" customFormat="false" ht="43.5" hidden="false" customHeight="true" outlineLevel="0" collapsed="false">
      <c r="A12" s="5" t="s">
        <v>18</v>
      </c>
      <c r="B12" s="6" t="s">
        <v>19</v>
      </c>
    </row>
    <row r="13" customFormat="false" ht="43.5" hidden="false" customHeight="true" outlineLevel="0" collapsed="false">
      <c r="A13" s="5" t="s">
        <v>20</v>
      </c>
      <c r="B13" s="6" t="s">
        <v>21</v>
      </c>
    </row>
    <row r="14" customFormat="false" ht="43.5" hidden="false" customHeight="true" outlineLevel="0" collapsed="false">
      <c r="A14" s="5" t="s">
        <v>22</v>
      </c>
      <c r="B14" s="6" t="s">
        <v>23</v>
      </c>
    </row>
    <row r="15" customFormat="false" ht="43.5" hidden="false" customHeight="true" outlineLevel="0" collapsed="false">
      <c r="A15" s="5" t="s">
        <v>24</v>
      </c>
      <c r="B15" s="6" t="s">
        <v>25</v>
      </c>
    </row>
    <row r="16" customFormat="false" ht="43.5" hidden="false" customHeight="true" outlineLevel="0" collapsed="false">
      <c r="A16" s="5" t="s">
        <v>26</v>
      </c>
      <c r="B16" s="6" t="s">
        <v>27</v>
      </c>
    </row>
    <row r="17" customFormat="false" ht="43.5" hidden="false" customHeight="true" outlineLevel="0" collapsed="false">
      <c r="A17" s="5" t="s">
        <v>28</v>
      </c>
      <c r="B17" s="6" t="s">
        <v>29</v>
      </c>
    </row>
    <row r="18" customFormat="false" ht="43.5" hidden="false" customHeight="true" outlineLevel="0" collapsed="false">
      <c r="A18" s="5" t="s">
        <v>30</v>
      </c>
      <c r="B18" s="6" t="s">
        <v>31</v>
      </c>
    </row>
    <row r="19" customFormat="false" ht="15" hidden="false" customHeight="true" outlineLevel="0" collapsed="false"/>
    <row r="20" customFormat="false" ht="1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4"/>
    <col collapsed="false" customWidth="true" hidden="false" outlineLevel="0" max="28" min="6" style="1" width="8.71"/>
  </cols>
  <sheetData>
    <row r="1" customFormat="false" ht="15.75" hidden="false" customHeight="true" outlineLevel="0" collapsed="false">
      <c r="A1" s="7" t="s">
        <v>32</v>
      </c>
    </row>
    <row r="2" customFormat="false" ht="15" hidden="false" customHeight="true" outlineLevel="0" collapsed="false">
      <c r="A2" s="8" t="s">
        <v>33</v>
      </c>
    </row>
    <row r="4" customFormat="false" ht="15" hidden="false" customHeight="true" outlineLevel="0" collapsed="false">
      <c r="A4" s="9" t="s">
        <v>34</v>
      </c>
    </row>
    <row r="5" customFormat="false" ht="15" hidden="false" customHeight="true" outlineLevel="0" collapsed="false">
      <c r="A5" s="10" t="s">
        <v>35</v>
      </c>
      <c r="B5" s="10" t="s">
        <v>24</v>
      </c>
      <c r="C5" s="10" t="s">
        <v>22</v>
      </c>
      <c r="D5" s="10" t="s">
        <v>36</v>
      </c>
      <c r="E5" s="10" t="s">
        <v>37</v>
      </c>
    </row>
    <row r="6" customFormat="false" ht="15" hidden="false" customHeight="true" outlineLevel="0" collapsed="false">
      <c r="A6" s="11" t="s">
        <v>38</v>
      </c>
      <c r="B6" s="11" t="n">
        <f aca="false">COUNTIF(Resumen_GORE!$F$5:$F$20,"Sustantiva")</f>
        <v>7</v>
      </c>
      <c r="C6" s="11" t="n">
        <f aca="false">COUNTIF(Resumen_GORE!$F$5:$F$20,"Retórica")</f>
        <v>3</v>
      </c>
      <c r="D6" s="11" t="n">
        <f aca="false">COUNTIF(Resumen_GORE!$F$5:$F$20,"Sin mención*")</f>
        <v>6</v>
      </c>
      <c r="E6" s="11" t="n">
        <f aca="false">COUNTIF(Resumen_GORE!$F$5:$F$20,"No disponible")</f>
        <v>0</v>
      </c>
    </row>
    <row r="7" customFormat="false" ht="15" hidden="false" customHeight="true" outlineLevel="0" collapsed="false">
      <c r="A7" s="11" t="s">
        <v>39</v>
      </c>
      <c r="B7" s="11" t="n">
        <f aca="false">COUNTIF(Resumen_GORE!$E$5:$E$20,"Sustantiva")</f>
        <v>0</v>
      </c>
      <c r="C7" s="11" t="n">
        <f aca="false">COUNTIF(Resumen_GORE!$E$5:$E$20,"Retórica")</f>
        <v>1</v>
      </c>
      <c r="D7" s="11" t="n">
        <f aca="false">COUNTIF(Resumen_GORE!$E$5:$E$20,"Sin mención*")</f>
        <v>13</v>
      </c>
      <c r="E7" s="11" t="n">
        <f aca="false">COUNTIF(Resumen_GORE!$E$5:$E$20,"No disponible")</f>
        <v>2</v>
      </c>
    </row>
    <row r="8" customFormat="false" ht="15" hidden="false" customHeight="true" outlineLevel="0" collapsed="false">
      <c r="A8" s="11" t="s">
        <v>40</v>
      </c>
      <c r="B8" s="11" t="n">
        <f aca="false">COUNTIF(Resumen_GORE!$C$5:$C$20,"&gt;0")</f>
        <v>2</v>
      </c>
      <c r="C8" s="11" t="n">
        <f aca="false">COUNTIFS(Resumen_GORE!$C$5:$C$20,0,Resumen_GORE!$B$5:$B$20,"&gt;0")</f>
        <v>11</v>
      </c>
      <c r="D8" s="11" t="n">
        <f aca="false">COUNTIF(Resumen_GORE!$D$5:$D$20,0)</f>
        <v>3</v>
      </c>
      <c r="E8" s="11" t="n">
        <v>0</v>
      </c>
    </row>
    <row r="12" customFormat="false" ht="15" hidden="false" customHeight="true" outlineLevel="0" collapsed="false">
      <c r="A12" s="9" t="s">
        <v>41</v>
      </c>
    </row>
    <row r="13" customFormat="false" ht="34.5" hidden="false" customHeight="true" outlineLevel="0" collapsed="false">
      <c r="A13" s="10" t="s">
        <v>42</v>
      </c>
      <c r="B13" s="10" t="s">
        <v>43</v>
      </c>
      <c r="C13" s="10" t="s">
        <v>44</v>
      </c>
      <c r="D13" s="10" t="s">
        <v>45</v>
      </c>
    </row>
    <row r="14" customFormat="false" ht="15" hidden="false" customHeight="true" outlineLevel="0" collapsed="false">
      <c r="A14" s="11" t="s">
        <v>46</v>
      </c>
      <c r="B14" s="11" t="n">
        <f aca="false">COUNTIF(Mapa_17_ODS!D$6:D$21,2)</f>
        <v>4</v>
      </c>
      <c r="C14" s="11" t="n">
        <f aca="false">COUNTIF(Mapa_17_ODS!D$6:D$21,1)</f>
        <v>0</v>
      </c>
      <c r="D14" s="11" t="n">
        <f aca="false">B14+C14</f>
        <v>4</v>
      </c>
    </row>
    <row r="15" customFormat="false" ht="15" hidden="false" customHeight="true" outlineLevel="0" collapsed="false">
      <c r="A15" s="11" t="s">
        <v>47</v>
      </c>
      <c r="B15" s="11" t="n">
        <f aca="false">COUNTIF(Mapa_17_ODS!E$6:E$21,2)</f>
        <v>5</v>
      </c>
      <c r="C15" s="11" t="n">
        <f aca="false">COUNTIF(Mapa_17_ODS!E$6:E$21,1)</f>
        <v>0</v>
      </c>
      <c r="D15" s="11" t="n">
        <f aca="false">B15+C15</f>
        <v>5</v>
      </c>
    </row>
    <row r="16" customFormat="false" ht="15" hidden="false" customHeight="true" outlineLevel="0" collapsed="false">
      <c r="A16" s="11" t="s">
        <v>48</v>
      </c>
      <c r="B16" s="11" t="n">
        <f aca="false">COUNTIF(Mapa_17_ODS!F$6:F$21,2)</f>
        <v>6</v>
      </c>
      <c r="C16" s="11" t="n">
        <f aca="false">COUNTIF(Mapa_17_ODS!F$6:F$21,1)</f>
        <v>0</v>
      </c>
      <c r="D16" s="11" t="n">
        <f aca="false">B16+C16</f>
        <v>6</v>
      </c>
    </row>
    <row r="17" customFormat="false" ht="15" hidden="false" customHeight="true" outlineLevel="0" collapsed="false">
      <c r="A17" s="11" t="s">
        <v>49</v>
      </c>
      <c r="B17" s="11" t="n">
        <f aca="false">COUNTIF(Mapa_17_ODS!G$6:G$21,2)</f>
        <v>6</v>
      </c>
      <c r="C17" s="11" t="n">
        <f aca="false">COUNTIF(Mapa_17_ODS!G$6:G$21,1)</f>
        <v>1</v>
      </c>
      <c r="D17" s="11" t="n">
        <f aca="false">B17+C17</f>
        <v>7</v>
      </c>
    </row>
    <row r="18" customFormat="false" ht="15" hidden="false" customHeight="true" outlineLevel="0" collapsed="false">
      <c r="A18" s="11" t="s">
        <v>50</v>
      </c>
      <c r="B18" s="11" t="n">
        <f aca="false">COUNTIF(Mapa_17_ODS!H$6:H$21,2)</f>
        <v>6</v>
      </c>
      <c r="C18" s="11" t="n">
        <f aca="false">COUNTIF(Mapa_17_ODS!H$6:H$21,1)</f>
        <v>0</v>
      </c>
      <c r="D18" s="11" t="n">
        <f aca="false">B18+C18</f>
        <v>6</v>
      </c>
    </row>
    <row r="19" customFormat="false" ht="15" hidden="false" customHeight="true" outlineLevel="0" collapsed="false">
      <c r="A19" s="11" t="s">
        <v>51</v>
      </c>
      <c r="B19" s="11" t="n">
        <f aca="false">COUNTIF(Mapa_17_ODS!I$6:I$21,2)</f>
        <v>6</v>
      </c>
      <c r="C19" s="11" t="n">
        <f aca="false">COUNTIF(Mapa_17_ODS!I$6:I$21,1)</f>
        <v>0</v>
      </c>
      <c r="D19" s="11" t="n">
        <f aca="false">B19+C19</f>
        <v>6</v>
      </c>
    </row>
    <row r="20" customFormat="false" ht="15" hidden="false" customHeight="true" outlineLevel="0" collapsed="false">
      <c r="A20" s="11" t="s">
        <v>52</v>
      </c>
      <c r="B20" s="11" t="n">
        <f aca="false">COUNTIF(Mapa_17_ODS!J$6:J$21,2)</f>
        <v>6</v>
      </c>
      <c r="C20" s="11" t="n">
        <f aca="false">COUNTIF(Mapa_17_ODS!J$6:J$21,1)</f>
        <v>0</v>
      </c>
      <c r="D20" s="11" t="n">
        <f aca="false">B20+C20</f>
        <v>6</v>
      </c>
    </row>
    <row r="21" customFormat="false" ht="15.75" hidden="false" customHeight="true" outlineLevel="0" collapsed="false">
      <c r="A21" s="11" t="s">
        <v>53</v>
      </c>
      <c r="B21" s="11" t="n">
        <f aca="false">COUNTIF(Mapa_17_ODS!K$6:K$21,2)</f>
        <v>6</v>
      </c>
      <c r="C21" s="11" t="n">
        <f aca="false">COUNTIF(Mapa_17_ODS!K$6:K$21,1)</f>
        <v>1</v>
      </c>
      <c r="D21" s="11" t="n">
        <f aca="false">B21+C21</f>
        <v>7</v>
      </c>
    </row>
    <row r="22" customFormat="false" ht="15.75" hidden="false" customHeight="true" outlineLevel="0" collapsed="false">
      <c r="A22" s="11" t="s">
        <v>54</v>
      </c>
      <c r="B22" s="11" t="n">
        <f aca="false">COUNTIF(Mapa_17_ODS!L$6:L$21,2)</f>
        <v>5</v>
      </c>
      <c r="C22" s="11" t="n">
        <f aca="false">COUNTIF(Mapa_17_ODS!L$6:L$21,1)</f>
        <v>0</v>
      </c>
      <c r="D22" s="11" t="n">
        <f aca="false">B22+C22</f>
        <v>5</v>
      </c>
    </row>
    <row r="23" customFormat="false" ht="15.75" hidden="false" customHeight="true" outlineLevel="0" collapsed="false">
      <c r="A23" s="11" t="s">
        <v>55</v>
      </c>
      <c r="B23" s="11" t="n">
        <f aca="false">COUNTIF(Mapa_17_ODS!M$6:M$21,2)</f>
        <v>5</v>
      </c>
      <c r="C23" s="11" t="n">
        <f aca="false">COUNTIF(Mapa_17_ODS!M$6:M$21,1)</f>
        <v>1</v>
      </c>
      <c r="D23" s="11" t="n">
        <f aca="false">B23+C23</f>
        <v>6</v>
      </c>
    </row>
    <row r="24" customFormat="false" ht="15.75" hidden="false" customHeight="true" outlineLevel="0" collapsed="false">
      <c r="A24" s="11" t="s">
        <v>56</v>
      </c>
      <c r="B24" s="11" t="n">
        <f aca="false">COUNTIF(Mapa_17_ODS!N$6:N$21,2)</f>
        <v>6</v>
      </c>
      <c r="C24" s="11" t="n">
        <f aca="false">COUNTIF(Mapa_17_ODS!N$6:N$21,1)</f>
        <v>1</v>
      </c>
      <c r="D24" s="11" t="n">
        <f aca="false">B24+C24</f>
        <v>7</v>
      </c>
    </row>
    <row r="25" customFormat="false" ht="15.75" hidden="false" customHeight="true" outlineLevel="0" collapsed="false">
      <c r="A25" s="11" t="s">
        <v>57</v>
      </c>
      <c r="B25" s="11" t="n">
        <f aca="false">COUNTIF(Mapa_17_ODS!O$6:O$21,2)</f>
        <v>6</v>
      </c>
      <c r="C25" s="11" t="n">
        <f aca="false">COUNTIF(Mapa_17_ODS!O$6:O$21,1)</f>
        <v>1</v>
      </c>
      <c r="D25" s="11" t="n">
        <f aca="false">B25+C25</f>
        <v>7</v>
      </c>
    </row>
    <row r="26" customFormat="false" ht="15.75" hidden="false" customHeight="true" outlineLevel="0" collapsed="false">
      <c r="A26" s="11" t="s">
        <v>58</v>
      </c>
      <c r="B26" s="11" t="n">
        <f aca="false">COUNTIF(Mapa_17_ODS!P$6:P$21,2)</f>
        <v>5</v>
      </c>
      <c r="C26" s="11" t="n">
        <f aca="false">COUNTIF(Mapa_17_ODS!P$6:P$21,1)</f>
        <v>0</v>
      </c>
      <c r="D26" s="11" t="n">
        <f aca="false">B26+C26</f>
        <v>5</v>
      </c>
    </row>
    <row r="27" customFormat="false" ht="15.75" hidden="false" customHeight="true" outlineLevel="0" collapsed="false">
      <c r="A27" s="11" t="s">
        <v>59</v>
      </c>
      <c r="B27" s="11" t="n">
        <f aca="false">COUNTIF(Mapa_17_ODS!Q$6:Q$21,2)</f>
        <v>5</v>
      </c>
      <c r="C27" s="11" t="n">
        <f aca="false">COUNTIF(Mapa_17_ODS!Q$6:Q$21,1)</f>
        <v>0</v>
      </c>
      <c r="D27" s="11" t="n">
        <f aca="false">B27+C27</f>
        <v>5</v>
      </c>
    </row>
    <row r="28" customFormat="false" ht="15.75" hidden="false" customHeight="true" outlineLevel="0" collapsed="false">
      <c r="A28" s="11" t="s">
        <v>60</v>
      </c>
      <c r="B28" s="11" t="n">
        <f aca="false">COUNTIF(Mapa_17_ODS!R$6:R$21,2)</f>
        <v>6</v>
      </c>
      <c r="C28" s="11" t="n">
        <f aca="false">COUNTIF(Mapa_17_ODS!R$6:R$21,1)</f>
        <v>0</v>
      </c>
      <c r="D28" s="11" t="n">
        <f aca="false">B28+C28</f>
        <v>6</v>
      </c>
    </row>
    <row r="29" customFormat="false" ht="15.75" hidden="false" customHeight="true" outlineLevel="0" collapsed="false">
      <c r="A29" s="9" t="s">
        <v>61</v>
      </c>
      <c r="B29" s="11" t="n">
        <f aca="false">COUNTIF(Mapa_17_ODS!S$6:S$21,2)</f>
        <v>5</v>
      </c>
      <c r="C29" s="11" t="n">
        <f aca="false">COUNTIF(Mapa_17_ODS!S$6:S$21,1)</f>
        <v>0</v>
      </c>
      <c r="D29" s="11" t="n">
        <f aca="false">B29+C29</f>
        <v>5</v>
      </c>
    </row>
    <row r="30" customFormat="false" ht="15.75" hidden="false" customHeight="true" outlineLevel="0" collapsed="false">
      <c r="A30" s="11" t="s">
        <v>62</v>
      </c>
      <c r="B30" s="11" t="n">
        <f aca="false">COUNTIF(Mapa_17_ODS!T$6:T$21,2)</f>
        <v>5</v>
      </c>
      <c r="C30" s="11" t="n">
        <f aca="false">COUNTIF(Mapa_17_ODS!T$6:T$21,1)</f>
        <v>0</v>
      </c>
      <c r="D30" s="11" t="n">
        <f aca="false">B30+C30</f>
        <v>5</v>
      </c>
    </row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>
      <c r="A33" s="9" t="s">
        <v>63</v>
      </c>
    </row>
    <row r="34" customFormat="false" ht="15.75" hidden="false" customHeight="true" outlineLevel="0" collapsed="false">
      <c r="A34" s="10" t="s">
        <v>64</v>
      </c>
      <c r="B34" s="10" t="s">
        <v>24</v>
      </c>
      <c r="C34" s="10" t="s">
        <v>22</v>
      </c>
      <c r="D34" s="10" t="s">
        <v>45</v>
      </c>
    </row>
    <row r="35" customFormat="false" ht="15.75" hidden="false" customHeight="true" outlineLevel="0" collapsed="false">
      <c r="A35" s="11" t="s">
        <v>65</v>
      </c>
      <c r="B35" s="11" t="n">
        <v>0</v>
      </c>
      <c r="C35" s="11" t="n">
        <v>0</v>
      </c>
      <c r="D35" s="11" t="n">
        <f aca="false">B35+C35</f>
        <v>0</v>
      </c>
    </row>
    <row r="36" customFormat="false" ht="15.75" hidden="false" customHeight="true" outlineLevel="0" collapsed="false">
      <c r="A36" s="11" t="s">
        <v>66</v>
      </c>
      <c r="B36" s="11" t="n">
        <v>0</v>
      </c>
      <c r="C36" s="11" t="n">
        <v>1</v>
      </c>
      <c r="D36" s="11" t="n">
        <f aca="false">B36+C36</f>
        <v>1</v>
      </c>
    </row>
    <row r="37" customFormat="false" ht="15.75" hidden="false" customHeight="true" outlineLevel="0" collapsed="false">
      <c r="A37" s="11" t="s">
        <v>67</v>
      </c>
      <c r="B37" s="11" t="n">
        <v>0</v>
      </c>
      <c r="C37" s="11" t="n">
        <v>1</v>
      </c>
      <c r="D37" s="11" t="n">
        <f aca="false">B37+C37</f>
        <v>1</v>
      </c>
    </row>
    <row r="38" customFormat="false" ht="15.75" hidden="false" customHeight="true" outlineLevel="0" collapsed="false">
      <c r="A38" s="11" t="s">
        <v>68</v>
      </c>
      <c r="B38" s="11" t="n">
        <v>0</v>
      </c>
      <c r="C38" s="11" t="n">
        <v>1</v>
      </c>
      <c r="D38" s="11" t="n">
        <f aca="false">B38+C38</f>
        <v>1</v>
      </c>
    </row>
    <row r="39" customFormat="false" ht="15.75" hidden="false" customHeight="true" outlineLevel="0" collapsed="false">
      <c r="A39" s="11" t="s">
        <v>69</v>
      </c>
      <c r="B39" s="11" t="n">
        <v>0</v>
      </c>
      <c r="C39" s="11" t="n">
        <v>4</v>
      </c>
      <c r="D39" s="11" t="n">
        <f aca="false">B39+C39</f>
        <v>4</v>
      </c>
    </row>
    <row r="40" customFormat="false" ht="15.75" hidden="false" customHeight="true" outlineLevel="0" collapsed="false">
      <c r="A40" s="11" t="s">
        <v>70</v>
      </c>
      <c r="B40" s="11" t="n">
        <v>0</v>
      </c>
      <c r="C40" s="11" t="n">
        <v>7</v>
      </c>
      <c r="D40" s="11" t="n">
        <f aca="false">B40+C40</f>
        <v>7</v>
      </c>
    </row>
    <row r="41" customFormat="false" ht="15.75" hidden="false" customHeight="true" outlineLevel="0" collapsed="false">
      <c r="A41" s="11" t="s">
        <v>71</v>
      </c>
      <c r="B41" s="11" t="n">
        <v>0</v>
      </c>
      <c r="C41" s="11" t="n">
        <v>2</v>
      </c>
      <c r="D41" s="11" t="n">
        <f aca="false">B41+C41</f>
        <v>2</v>
      </c>
    </row>
    <row r="42" customFormat="false" ht="15.75" hidden="false" customHeight="true" outlineLevel="0" collapsed="false">
      <c r="A42" s="11" t="s">
        <v>72</v>
      </c>
      <c r="B42" s="11" t="n">
        <v>0</v>
      </c>
      <c r="C42" s="11" t="n">
        <v>0</v>
      </c>
      <c r="D42" s="11" t="n">
        <f aca="false">B42+C42</f>
        <v>0</v>
      </c>
    </row>
    <row r="43" customFormat="false" ht="15.75" hidden="false" customHeight="true" outlineLevel="0" collapsed="false">
      <c r="A43" s="11" t="s">
        <v>73</v>
      </c>
      <c r="B43" s="11" t="n">
        <v>0</v>
      </c>
      <c r="C43" s="11" t="n">
        <v>2</v>
      </c>
      <c r="D43" s="11" t="n">
        <f aca="false">B43+C43</f>
        <v>2</v>
      </c>
    </row>
    <row r="44" customFormat="false" ht="15.75" hidden="false" customHeight="true" outlineLevel="0" collapsed="false">
      <c r="A44" s="11" t="s">
        <v>74</v>
      </c>
      <c r="B44" s="11" t="n">
        <v>6</v>
      </c>
      <c r="C44" s="11" t="n">
        <v>0</v>
      </c>
      <c r="D44" s="11" t="n">
        <f aca="false">B44+C44</f>
        <v>6</v>
      </c>
    </row>
    <row r="45" customFormat="false" ht="15.75" hidden="false" customHeight="true" outlineLevel="0" collapsed="false">
      <c r="A45" s="11" t="s">
        <v>75</v>
      </c>
      <c r="B45" s="11" t="n">
        <v>0</v>
      </c>
      <c r="C45" s="11" t="n">
        <v>2</v>
      </c>
      <c r="D45" s="11" t="n">
        <f aca="false">B45+C45</f>
        <v>2</v>
      </c>
    </row>
    <row r="46" customFormat="false" ht="15.75" hidden="false" customHeight="true" outlineLevel="0" collapsed="false">
      <c r="A46" s="11" t="s">
        <v>76</v>
      </c>
      <c r="B46" s="11" t="n">
        <v>2</v>
      </c>
      <c r="C46" s="11" t="n">
        <v>1</v>
      </c>
      <c r="D46" s="11" t="n">
        <f aca="false">B46+C46</f>
        <v>3</v>
      </c>
    </row>
    <row r="47" customFormat="false" ht="15.75" hidden="false" customHeight="true" outlineLevel="0" collapsed="false">
      <c r="A47" s="11" t="s">
        <v>77</v>
      </c>
      <c r="B47" s="11" t="n">
        <v>0</v>
      </c>
      <c r="C47" s="11" t="n">
        <v>1</v>
      </c>
      <c r="D47" s="11" t="n">
        <f aca="false">B47+C47</f>
        <v>1</v>
      </c>
    </row>
    <row r="48" customFormat="false" ht="15.75" hidden="false" customHeight="true" outlineLevel="0" collapsed="false">
      <c r="A48" s="11" t="s">
        <v>78</v>
      </c>
      <c r="B48" s="11" t="n">
        <v>0</v>
      </c>
      <c r="C48" s="11" t="n">
        <v>0</v>
      </c>
      <c r="D48" s="11" t="n">
        <f aca="false">B48+C48</f>
        <v>0</v>
      </c>
    </row>
    <row r="49" customFormat="false" ht="15.75" hidden="false" customHeight="true" outlineLevel="0" collapsed="false">
      <c r="A49" s="11" t="s">
        <v>79</v>
      </c>
      <c r="B49" s="11" t="n">
        <v>0</v>
      </c>
      <c r="C49" s="11" t="n">
        <v>1</v>
      </c>
      <c r="D49" s="11" t="n">
        <f aca="false">B49+C49</f>
        <v>1</v>
      </c>
    </row>
    <row r="50" customFormat="false" ht="15.75" hidden="false" customHeight="true" outlineLevel="0" collapsed="false">
      <c r="A50" s="11" t="s">
        <v>80</v>
      </c>
      <c r="B50" s="11" t="n">
        <v>0</v>
      </c>
      <c r="C50" s="11" t="n">
        <v>1</v>
      </c>
      <c r="D50" s="11" t="n">
        <f aca="false">B50+C50</f>
        <v>1</v>
      </c>
    </row>
    <row r="51" customFormat="false" ht="15.75" hidden="false" customHeight="true" outlineLevel="0" collapsed="false">
      <c r="A51" s="9" t="s">
        <v>45</v>
      </c>
      <c r="B51" s="9" t="n">
        <f aca="false">SUM(B35:B50)</f>
        <v>8</v>
      </c>
      <c r="C51" s="9" t="n">
        <f aca="false">SUM(C35:C50)</f>
        <v>24</v>
      </c>
      <c r="D51" s="9" t="n">
        <f aca="false">SUM(D35:D50)</f>
        <v>32</v>
      </c>
    </row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>
      <c r="A54" s="8" t="s">
        <v>81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8"/>
    <col collapsed="false" customWidth="true" hidden="false" outlineLevel="0" max="3" min="3" style="1" width="50"/>
    <col collapsed="false" customWidth="true" hidden="false" outlineLevel="0" max="4" min="4" style="1" width="30"/>
    <col collapsed="false" customWidth="true" hidden="false" outlineLevel="0" max="7" min="5" style="1" width="12"/>
    <col collapsed="false" customWidth="true" hidden="false" outlineLevel="0" max="8" min="8" style="1" width="11"/>
    <col collapsed="false" customWidth="true" hidden="false" outlineLevel="0" max="9" min="9" style="1" width="30"/>
    <col collapsed="false" customWidth="true" hidden="false" outlineLevel="0" max="10" min="10" style="1" width="50"/>
    <col collapsed="false" customWidth="true" hidden="false" outlineLevel="0" max="26" min="11" style="1" width="8.71"/>
  </cols>
  <sheetData>
    <row r="1" customFormat="false" ht="15.75" hidden="false" customHeight="true" outlineLevel="0" collapsed="false">
      <c r="A1" s="2" t="s">
        <v>82</v>
      </c>
    </row>
    <row r="2" customFormat="false" ht="15" hidden="false" customHeight="true" outlineLevel="0" collapsed="false">
      <c r="A2" s="3" t="s">
        <v>83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64</v>
      </c>
      <c r="B4" s="4" t="s">
        <v>84</v>
      </c>
      <c r="C4" s="4" t="s">
        <v>85</v>
      </c>
      <c r="D4" s="4" t="s">
        <v>86</v>
      </c>
      <c r="E4" s="4" t="s">
        <v>87</v>
      </c>
      <c r="F4" s="4" t="s">
        <v>88</v>
      </c>
      <c r="G4" s="4" t="s">
        <v>89</v>
      </c>
      <c r="H4" s="4" t="s">
        <v>90</v>
      </c>
      <c r="I4" s="4" t="s">
        <v>91</v>
      </c>
      <c r="J4" s="4" t="s">
        <v>92</v>
      </c>
    </row>
    <row r="5" customFormat="false" ht="45.75" hidden="false" customHeight="true" outlineLevel="0" collapsed="false">
      <c r="A5" s="6" t="s">
        <v>65</v>
      </c>
      <c r="B5" s="6" t="s">
        <v>93</v>
      </c>
      <c r="C5" s="6" t="s">
        <v>94</v>
      </c>
      <c r="D5" s="6" t="s">
        <v>42</v>
      </c>
      <c r="E5" s="6" t="s">
        <v>95</v>
      </c>
      <c r="F5" s="6" t="n">
        <v>0</v>
      </c>
      <c r="G5" s="6" t="n">
        <v>0</v>
      </c>
      <c r="H5" s="6" t="s">
        <v>96</v>
      </c>
      <c r="I5" s="6" t="s">
        <v>97</v>
      </c>
      <c r="J5" s="6" t="s">
        <v>98</v>
      </c>
    </row>
    <row r="6" customFormat="false" ht="45.75" hidden="false" customHeight="true" outlineLevel="0" collapsed="false">
      <c r="A6" s="6" t="s">
        <v>65</v>
      </c>
      <c r="B6" s="6" t="s">
        <v>93</v>
      </c>
      <c r="C6" s="6" t="s">
        <v>94</v>
      </c>
      <c r="D6" s="6" t="s">
        <v>99</v>
      </c>
      <c r="E6" s="6" t="s">
        <v>95</v>
      </c>
      <c r="F6" s="6" t="n">
        <v>0</v>
      </c>
      <c r="G6" s="6" t="n">
        <v>0</v>
      </c>
      <c r="H6" s="6" t="s">
        <v>96</v>
      </c>
      <c r="I6" s="6" t="s">
        <v>97</v>
      </c>
      <c r="J6" s="6"/>
    </row>
    <row r="7" customFormat="false" ht="45.75" hidden="false" customHeight="true" outlineLevel="0" collapsed="false">
      <c r="A7" s="6" t="s">
        <v>65</v>
      </c>
      <c r="B7" s="6" t="s">
        <v>93</v>
      </c>
      <c r="C7" s="6" t="s">
        <v>94</v>
      </c>
      <c r="D7" s="6" t="s">
        <v>100</v>
      </c>
      <c r="E7" s="6" t="s">
        <v>95</v>
      </c>
      <c r="F7" s="6" t="n">
        <v>0</v>
      </c>
      <c r="G7" s="6" t="n">
        <v>0</v>
      </c>
      <c r="H7" s="6" t="s">
        <v>96</v>
      </c>
      <c r="I7" s="6" t="s">
        <v>97</v>
      </c>
      <c r="J7" s="6"/>
    </row>
    <row r="8" customFormat="false" ht="45.75" hidden="false" customHeight="true" outlineLevel="0" collapsed="false">
      <c r="A8" s="6" t="s">
        <v>65</v>
      </c>
      <c r="B8" s="6" t="s">
        <v>93</v>
      </c>
      <c r="C8" s="6" t="s">
        <v>94</v>
      </c>
      <c r="D8" s="6" t="s">
        <v>61</v>
      </c>
      <c r="E8" s="6" t="s">
        <v>95</v>
      </c>
      <c r="F8" s="6" t="n">
        <v>0</v>
      </c>
      <c r="G8" s="6" t="n">
        <v>0</v>
      </c>
      <c r="H8" s="6" t="s">
        <v>96</v>
      </c>
      <c r="I8" s="6" t="s">
        <v>97</v>
      </c>
      <c r="J8" s="6"/>
    </row>
    <row r="9" customFormat="false" ht="45.75" hidden="false" customHeight="true" outlineLevel="0" collapsed="false">
      <c r="A9" s="6" t="s">
        <v>65</v>
      </c>
      <c r="B9" s="6" t="s">
        <v>93</v>
      </c>
      <c r="C9" s="6" t="s">
        <v>94</v>
      </c>
      <c r="D9" s="6" t="s">
        <v>101</v>
      </c>
      <c r="E9" s="6" t="s">
        <v>102</v>
      </c>
      <c r="F9" s="6" t="n">
        <v>1</v>
      </c>
      <c r="G9" s="6" t="n">
        <v>0</v>
      </c>
      <c r="H9" s="6" t="s">
        <v>96</v>
      </c>
      <c r="I9" s="6" t="s">
        <v>97</v>
      </c>
      <c r="J9" s="6"/>
    </row>
    <row r="10" customFormat="false" ht="45.75" hidden="false" customHeight="true" outlineLevel="0" collapsed="false">
      <c r="A10" s="6" t="s">
        <v>65</v>
      </c>
      <c r="B10" s="6" t="s">
        <v>93</v>
      </c>
      <c r="C10" s="6" t="s">
        <v>94</v>
      </c>
      <c r="D10" s="6" t="s">
        <v>103</v>
      </c>
      <c r="E10" s="6" t="s">
        <v>102</v>
      </c>
      <c r="F10" s="6" t="n">
        <v>2</v>
      </c>
      <c r="G10" s="6" t="n">
        <v>2</v>
      </c>
      <c r="H10" s="6" t="s">
        <v>96</v>
      </c>
      <c r="I10" s="6" t="s">
        <v>97</v>
      </c>
      <c r="J10" s="6"/>
    </row>
    <row r="11" customFormat="false" ht="45.75" hidden="false" customHeight="true" outlineLevel="0" collapsed="false">
      <c r="A11" s="6" t="s">
        <v>65</v>
      </c>
      <c r="B11" s="6" t="s">
        <v>93</v>
      </c>
      <c r="C11" s="6" t="s">
        <v>94</v>
      </c>
      <c r="D11" s="6" t="s">
        <v>104</v>
      </c>
      <c r="E11" s="6" t="s">
        <v>102</v>
      </c>
      <c r="F11" s="6" t="n">
        <v>0</v>
      </c>
      <c r="G11" s="6" t="n">
        <v>0</v>
      </c>
      <c r="H11" s="6" t="s">
        <v>96</v>
      </c>
      <c r="I11" s="6" t="s">
        <v>97</v>
      </c>
      <c r="J11" s="6"/>
    </row>
    <row r="12" customFormat="false" ht="34.5" hidden="false" customHeight="true" outlineLevel="0" collapsed="false">
      <c r="A12" s="6" t="s">
        <v>66</v>
      </c>
      <c r="B12" s="6" t="s">
        <v>105</v>
      </c>
      <c r="C12" s="6" t="s">
        <v>106</v>
      </c>
      <c r="D12" s="6" t="s">
        <v>42</v>
      </c>
      <c r="E12" s="6" t="s">
        <v>95</v>
      </c>
      <c r="F12" s="6" t="n">
        <v>4</v>
      </c>
      <c r="G12" s="6" t="n">
        <v>1</v>
      </c>
      <c r="H12" s="6" t="s">
        <v>96</v>
      </c>
      <c r="I12" s="6" t="s">
        <v>97</v>
      </c>
      <c r="J12" s="6"/>
    </row>
    <row r="13" customFormat="false" ht="34.5" hidden="false" customHeight="true" outlineLevel="0" collapsed="false">
      <c r="A13" s="6" t="s">
        <v>66</v>
      </c>
      <c r="B13" s="6" t="s">
        <v>105</v>
      </c>
      <c r="C13" s="6" t="s">
        <v>106</v>
      </c>
      <c r="D13" s="6" t="s">
        <v>99</v>
      </c>
      <c r="E13" s="6" t="s">
        <v>95</v>
      </c>
      <c r="F13" s="6" t="n">
        <v>12</v>
      </c>
      <c r="G13" s="6" t="n">
        <v>0</v>
      </c>
      <c r="H13" s="6" t="s">
        <v>96</v>
      </c>
      <c r="I13" s="6" t="s">
        <v>97</v>
      </c>
      <c r="J13" s="6"/>
    </row>
    <row r="14" customFormat="false" ht="34.5" hidden="false" customHeight="true" outlineLevel="0" collapsed="false">
      <c r="A14" s="6" t="s">
        <v>66</v>
      </c>
      <c r="B14" s="6" t="s">
        <v>105</v>
      </c>
      <c r="C14" s="6" t="s">
        <v>106</v>
      </c>
      <c r="D14" s="6" t="s">
        <v>100</v>
      </c>
      <c r="E14" s="6" t="s">
        <v>95</v>
      </c>
      <c r="F14" s="6" t="n">
        <v>2</v>
      </c>
      <c r="G14" s="6" t="n">
        <v>0</v>
      </c>
      <c r="H14" s="6" t="s">
        <v>96</v>
      </c>
      <c r="I14" s="6" t="s">
        <v>97</v>
      </c>
      <c r="J14" s="6"/>
    </row>
    <row r="15" customFormat="false" ht="34.5" hidden="false" customHeight="true" outlineLevel="0" collapsed="false">
      <c r="A15" s="6" t="s">
        <v>66</v>
      </c>
      <c r="B15" s="6" t="s">
        <v>105</v>
      </c>
      <c r="C15" s="6" t="s">
        <v>106</v>
      </c>
      <c r="D15" s="6" t="s">
        <v>61</v>
      </c>
      <c r="E15" s="6" t="s">
        <v>95</v>
      </c>
      <c r="F15" s="6" t="n">
        <v>1</v>
      </c>
      <c r="G15" s="6" t="n">
        <v>0</v>
      </c>
      <c r="H15" s="6" t="s">
        <v>96</v>
      </c>
      <c r="I15" s="6" t="s">
        <v>97</v>
      </c>
      <c r="J15" s="6"/>
    </row>
    <row r="16" customFormat="false" ht="34.5" hidden="false" customHeight="true" outlineLevel="0" collapsed="false">
      <c r="A16" s="6" t="s">
        <v>66</v>
      </c>
      <c r="B16" s="6" t="s">
        <v>105</v>
      </c>
      <c r="C16" s="6" t="s">
        <v>106</v>
      </c>
      <c r="D16" s="6" t="s">
        <v>101</v>
      </c>
      <c r="E16" s="6" t="s">
        <v>102</v>
      </c>
      <c r="F16" s="6" t="n">
        <v>71</v>
      </c>
      <c r="G16" s="6" t="n">
        <v>26</v>
      </c>
      <c r="H16" s="6" t="s">
        <v>96</v>
      </c>
      <c r="I16" s="6" t="s">
        <v>97</v>
      </c>
      <c r="J16" s="6"/>
    </row>
    <row r="17" customFormat="false" ht="34.5" hidden="false" customHeight="true" outlineLevel="0" collapsed="false">
      <c r="A17" s="6" t="s">
        <v>66</v>
      </c>
      <c r="B17" s="6" t="s">
        <v>105</v>
      </c>
      <c r="C17" s="6" t="s">
        <v>106</v>
      </c>
      <c r="D17" s="6" t="s">
        <v>103</v>
      </c>
      <c r="E17" s="6" t="s">
        <v>102</v>
      </c>
      <c r="F17" s="6" t="n">
        <v>40</v>
      </c>
      <c r="G17" s="6" t="n">
        <v>40</v>
      </c>
      <c r="H17" s="6" t="s">
        <v>96</v>
      </c>
      <c r="I17" s="6" t="s">
        <v>97</v>
      </c>
      <c r="J17" s="6"/>
    </row>
    <row r="18" customFormat="false" ht="34.5" hidden="false" customHeight="true" outlineLevel="0" collapsed="false">
      <c r="A18" s="6" t="s">
        <v>66</v>
      </c>
      <c r="B18" s="6" t="s">
        <v>105</v>
      </c>
      <c r="C18" s="6" t="s">
        <v>106</v>
      </c>
      <c r="D18" s="6" t="s">
        <v>104</v>
      </c>
      <c r="E18" s="6" t="s">
        <v>102</v>
      </c>
      <c r="F18" s="6" t="n">
        <v>31</v>
      </c>
      <c r="G18" s="6" t="n">
        <v>30</v>
      </c>
      <c r="H18" s="6" t="s">
        <v>96</v>
      </c>
      <c r="I18" s="6" t="s">
        <v>97</v>
      </c>
      <c r="J18" s="6"/>
    </row>
    <row r="19" customFormat="false" ht="34.5" hidden="false" customHeight="true" outlineLevel="0" collapsed="false">
      <c r="A19" s="6" t="s">
        <v>67</v>
      </c>
      <c r="B19" s="6" t="s">
        <v>107</v>
      </c>
      <c r="C19" s="6" t="s">
        <v>108</v>
      </c>
      <c r="D19" s="6" t="s">
        <v>42</v>
      </c>
      <c r="E19" s="6" t="s">
        <v>95</v>
      </c>
      <c r="F19" s="6" t="n">
        <v>0</v>
      </c>
      <c r="G19" s="6" t="n">
        <v>0</v>
      </c>
      <c r="H19" s="6" t="s">
        <v>96</v>
      </c>
      <c r="I19" s="6" t="s">
        <v>97</v>
      </c>
      <c r="J19" s="6"/>
    </row>
    <row r="20" customFormat="false" ht="34.5" hidden="false" customHeight="true" outlineLevel="0" collapsed="false">
      <c r="A20" s="6" t="s">
        <v>67</v>
      </c>
      <c r="B20" s="6" t="s">
        <v>107</v>
      </c>
      <c r="C20" s="6" t="s">
        <v>108</v>
      </c>
      <c r="D20" s="6" t="s">
        <v>99</v>
      </c>
      <c r="E20" s="6" t="s">
        <v>95</v>
      </c>
      <c r="F20" s="6" t="n">
        <v>5</v>
      </c>
      <c r="G20" s="6" t="n">
        <v>0</v>
      </c>
      <c r="H20" s="6" t="s">
        <v>96</v>
      </c>
      <c r="I20" s="6" t="s">
        <v>97</v>
      </c>
      <c r="J20" s="6"/>
    </row>
    <row r="21" customFormat="false" ht="34.5" hidden="false" customHeight="true" outlineLevel="0" collapsed="false">
      <c r="A21" s="6" t="s">
        <v>67</v>
      </c>
      <c r="B21" s="6" t="s">
        <v>107</v>
      </c>
      <c r="C21" s="6" t="s">
        <v>108</v>
      </c>
      <c r="D21" s="6" t="s">
        <v>100</v>
      </c>
      <c r="E21" s="6" t="s">
        <v>95</v>
      </c>
      <c r="F21" s="6" t="n">
        <v>3</v>
      </c>
      <c r="G21" s="6" t="n">
        <v>1</v>
      </c>
      <c r="H21" s="6" t="s">
        <v>96</v>
      </c>
      <c r="I21" s="6" t="s">
        <v>97</v>
      </c>
      <c r="J21" s="6"/>
    </row>
    <row r="22" customFormat="false" ht="34.5" hidden="false" customHeight="true" outlineLevel="0" collapsed="false">
      <c r="A22" s="6" t="s">
        <v>67</v>
      </c>
      <c r="B22" s="6" t="s">
        <v>107</v>
      </c>
      <c r="C22" s="6" t="s">
        <v>108</v>
      </c>
      <c r="D22" s="6" t="s">
        <v>61</v>
      </c>
      <c r="E22" s="6" t="s">
        <v>95</v>
      </c>
      <c r="F22" s="6" t="n">
        <v>0</v>
      </c>
      <c r="G22" s="6" t="n">
        <v>0</v>
      </c>
      <c r="H22" s="6" t="s">
        <v>96</v>
      </c>
      <c r="I22" s="6" t="s">
        <v>97</v>
      </c>
      <c r="J22" s="6"/>
    </row>
    <row r="23" customFormat="false" ht="34.5" hidden="false" customHeight="true" outlineLevel="0" collapsed="false">
      <c r="A23" s="6" t="s">
        <v>67</v>
      </c>
      <c r="B23" s="6" t="s">
        <v>107</v>
      </c>
      <c r="C23" s="6" t="s">
        <v>108</v>
      </c>
      <c r="D23" s="6" t="s">
        <v>101</v>
      </c>
      <c r="E23" s="6" t="s">
        <v>102</v>
      </c>
      <c r="F23" s="6" t="n">
        <v>28</v>
      </c>
      <c r="G23" s="6" t="n">
        <v>6</v>
      </c>
      <c r="H23" s="6" t="s">
        <v>96</v>
      </c>
      <c r="I23" s="6" t="s">
        <v>97</v>
      </c>
      <c r="J23" s="6"/>
    </row>
    <row r="24" customFormat="false" ht="34.5" hidden="false" customHeight="true" outlineLevel="0" collapsed="false">
      <c r="A24" s="6" t="s">
        <v>67</v>
      </c>
      <c r="B24" s="6" t="s">
        <v>107</v>
      </c>
      <c r="C24" s="6" t="s">
        <v>108</v>
      </c>
      <c r="D24" s="6" t="s">
        <v>103</v>
      </c>
      <c r="E24" s="6" t="s">
        <v>102</v>
      </c>
      <c r="F24" s="6" t="n">
        <v>9</v>
      </c>
      <c r="G24" s="6" t="n">
        <v>9</v>
      </c>
      <c r="H24" s="6" t="s">
        <v>96</v>
      </c>
      <c r="I24" s="6" t="s">
        <v>97</v>
      </c>
      <c r="J24" s="6"/>
    </row>
    <row r="25" customFormat="false" ht="34.5" hidden="false" customHeight="true" outlineLevel="0" collapsed="false">
      <c r="A25" s="6" t="s">
        <v>67</v>
      </c>
      <c r="B25" s="6" t="s">
        <v>107</v>
      </c>
      <c r="C25" s="6" t="s">
        <v>108</v>
      </c>
      <c r="D25" s="6" t="s">
        <v>104</v>
      </c>
      <c r="E25" s="6" t="s">
        <v>102</v>
      </c>
      <c r="F25" s="6" t="n">
        <v>11</v>
      </c>
      <c r="G25" s="6" t="n">
        <v>10</v>
      </c>
      <c r="H25" s="6" t="s">
        <v>96</v>
      </c>
      <c r="I25" s="6" t="s">
        <v>97</v>
      </c>
      <c r="J25" s="6"/>
    </row>
    <row r="26" customFormat="false" ht="23.25" hidden="false" customHeight="true" outlineLevel="0" collapsed="false">
      <c r="A26" s="6" t="s">
        <v>68</v>
      </c>
      <c r="B26" s="6" t="s">
        <v>109</v>
      </c>
      <c r="C26" s="6" t="s">
        <v>110</v>
      </c>
      <c r="D26" s="6" t="s">
        <v>42</v>
      </c>
      <c r="E26" s="6" t="s">
        <v>95</v>
      </c>
      <c r="F26" s="6" t="n">
        <v>1</v>
      </c>
      <c r="G26" s="6" t="n">
        <v>1</v>
      </c>
      <c r="H26" s="6" t="s">
        <v>96</v>
      </c>
      <c r="I26" s="6" t="s">
        <v>97</v>
      </c>
      <c r="J26" s="6"/>
    </row>
    <row r="27" customFormat="false" ht="23.25" hidden="false" customHeight="true" outlineLevel="0" collapsed="false">
      <c r="A27" s="6" t="s">
        <v>68</v>
      </c>
      <c r="B27" s="6" t="s">
        <v>109</v>
      </c>
      <c r="C27" s="6" t="s">
        <v>110</v>
      </c>
      <c r="D27" s="6" t="s">
        <v>99</v>
      </c>
      <c r="E27" s="6" t="s">
        <v>95</v>
      </c>
      <c r="F27" s="6" t="n">
        <v>8</v>
      </c>
      <c r="G27" s="6" t="n">
        <v>1</v>
      </c>
      <c r="H27" s="6" t="s">
        <v>96</v>
      </c>
      <c r="I27" s="6" t="s">
        <v>97</v>
      </c>
      <c r="J27" s="6"/>
    </row>
    <row r="28" customFormat="false" ht="23.25" hidden="false" customHeight="true" outlineLevel="0" collapsed="false">
      <c r="A28" s="6" t="s">
        <v>68</v>
      </c>
      <c r="B28" s="6" t="s">
        <v>109</v>
      </c>
      <c r="C28" s="6" t="s">
        <v>110</v>
      </c>
      <c r="D28" s="6" t="s">
        <v>100</v>
      </c>
      <c r="E28" s="6" t="s">
        <v>95</v>
      </c>
      <c r="F28" s="6" t="n">
        <v>3</v>
      </c>
      <c r="G28" s="6" t="n">
        <v>0</v>
      </c>
      <c r="H28" s="6" t="s">
        <v>96</v>
      </c>
      <c r="I28" s="6" t="s">
        <v>97</v>
      </c>
      <c r="J28" s="6"/>
    </row>
    <row r="29" customFormat="false" ht="23.25" hidden="false" customHeight="true" outlineLevel="0" collapsed="false">
      <c r="A29" s="6" t="s">
        <v>68</v>
      </c>
      <c r="B29" s="6" t="s">
        <v>109</v>
      </c>
      <c r="C29" s="6" t="s">
        <v>110</v>
      </c>
      <c r="D29" s="6" t="s">
        <v>61</v>
      </c>
      <c r="E29" s="6" t="s">
        <v>95</v>
      </c>
      <c r="F29" s="6" t="n">
        <v>0</v>
      </c>
      <c r="G29" s="6" t="n">
        <v>0</v>
      </c>
      <c r="H29" s="6" t="s">
        <v>96</v>
      </c>
      <c r="I29" s="6" t="s">
        <v>97</v>
      </c>
      <c r="J29" s="6"/>
    </row>
    <row r="30" customFormat="false" ht="23.25" hidden="false" customHeight="true" outlineLevel="0" collapsed="false">
      <c r="A30" s="6" t="s">
        <v>68</v>
      </c>
      <c r="B30" s="6" t="s">
        <v>109</v>
      </c>
      <c r="C30" s="6" t="s">
        <v>110</v>
      </c>
      <c r="D30" s="6" t="s">
        <v>101</v>
      </c>
      <c r="E30" s="6" t="s">
        <v>102</v>
      </c>
      <c r="F30" s="6" t="n">
        <v>52</v>
      </c>
      <c r="G30" s="6" t="n">
        <v>17</v>
      </c>
      <c r="H30" s="6" t="s">
        <v>96</v>
      </c>
      <c r="I30" s="6" t="s">
        <v>97</v>
      </c>
      <c r="J30" s="6"/>
    </row>
    <row r="31" customFormat="false" ht="23.25" hidden="false" customHeight="true" outlineLevel="0" collapsed="false">
      <c r="A31" s="6" t="s">
        <v>68</v>
      </c>
      <c r="B31" s="6" t="s">
        <v>109</v>
      </c>
      <c r="C31" s="6" t="s">
        <v>110</v>
      </c>
      <c r="D31" s="6" t="s">
        <v>103</v>
      </c>
      <c r="E31" s="6" t="s">
        <v>102</v>
      </c>
      <c r="F31" s="6" t="n">
        <v>29</v>
      </c>
      <c r="G31" s="6" t="n">
        <v>29</v>
      </c>
      <c r="H31" s="6" t="s">
        <v>96</v>
      </c>
      <c r="I31" s="6" t="s">
        <v>97</v>
      </c>
      <c r="J31" s="6"/>
    </row>
    <row r="32" customFormat="false" ht="23.25" hidden="false" customHeight="true" outlineLevel="0" collapsed="false">
      <c r="A32" s="6" t="s">
        <v>68</v>
      </c>
      <c r="B32" s="6" t="s">
        <v>109</v>
      </c>
      <c r="C32" s="6" t="s">
        <v>110</v>
      </c>
      <c r="D32" s="6" t="s">
        <v>104</v>
      </c>
      <c r="E32" s="6" t="s">
        <v>102</v>
      </c>
      <c r="F32" s="6" t="n">
        <v>9</v>
      </c>
      <c r="G32" s="6" t="n">
        <v>5</v>
      </c>
      <c r="H32" s="6" t="s">
        <v>96</v>
      </c>
      <c r="I32" s="6" t="s">
        <v>97</v>
      </c>
      <c r="J32" s="6"/>
    </row>
    <row r="33" customFormat="false" ht="57" hidden="false" customHeight="true" outlineLevel="0" collapsed="false">
      <c r="A33" s="6" t="s">
        <v>69</v>
      </c>
      <c r="B33" s="6" t="s">
        <v>111</v>
      </c>
      <c r="C33" s="6" t="s">
        <v>112</v>
      </c>
      <c r="D33" s="6" t="s">
        <v>42</v>
      </c>
      <c r="E33" s="6" t="s">
        <v>95</v>
      </c>
      <c r="F33" s="6" t="n">
        <v>1</v>
      </c>
      <c r="G33" s="6" t="n">
        <v>1</v>
      </c>
      <c r="H33" s="6" t="s">
        <v>96</v>
      </c>
      <c r="I33" s="6" t="s">
        <v>97</v>
      </c>
      <c r="J33" s="6" t="s">
        <v>113</v>
      </c>
    </row>
    <row r="34" customFormat="false" ht="34.5" hidden="false" customHeight="true" outlineLevel="0" collapsed="false">
      <c r="A34" s="6" t="s">
        <v>69</v>
      </c>
      <c r="B34" s="6" t="s">
        <v>111</v>
      </c>
      <c r="C34" s="6" t="s">
        <v>112</v>
      </c>
      <c r="D34" s="6" t="s">
        <v>99</v>
      </c>
      <c r="E34" s="6" t="s">
        <v>95</v>
      </c>
      <c r="F34" s="6" t="n">
        <v>17</v>
      </c>
      <c r="G34" s="6" t="n">
        <v>4</v>
      </c>
      <c r="H34" s="6" t="s">
        <v>96</v>
      </c>
      <c r="I34" s="6" t="s">
        <v>97</v>
      </c>
      <c r="J34" s="6"/>
    </row>
    <row r="35" customFormat="false" ht="34.5" hidden="false" customHeight="true" outlineLevel="0" collapsed="false">
      <c r="A35" s="6" t="s">
        <v>69</v>
      </c>
      <c r="B35" s="6" t="s">
        <v>111</v>
      </c>
      <c r="C35" s="6" t="s">
        <v>112</v>
      </c>
      <c r="D35" s="6" t="s">
        <v>100</v>
      </c>
      <c r="E35" s="6" t="s">
        <v>95</v>
      </c>
      <c r="F35" s="6" t="n">
        <v>6</v>
      </c>
      <c r="G35" s="6" t="n">
        <v>0</v>
      </c>
      <c r="H35" s="6" t="s">
        <v>96</v>
      </c>
      <c r="I35" s="6" t="s">
        <v>97</v>
      </c>
      <c r="J35" s="6"/>
    </row>
    <row r="36" customFormat="false" ht="34.5" hidden="false" customHeight="true" outlineLevel="0" collapsed="false">
      <c r="A36" s="6" t="s">
        <v>69</v>
      </c>
      <c r="B36" s="6" t="s">
        <v>111</v>
      </c>
      <c r="C36" s="6" t="s">
        <v>112</v>
      </c>
      <c r="D36" s="6" t="s">
        <v>61</v>
      </c>
      <c r="E36" s="6" t="s">
        <v>95</v>
      </c>
      <c r="F36" s="6" t="n">
        <v>0</v>
      </c>
      <c r="G36" s="6" t="n">
        <v>0</v>
      </c>
      <c r="H36" s="6" t="s">
        <v>96</v>
      </c>
      <c r="I36" s="6" t="s">
        <v>97</v>
      </c>
      <c r="J36" s="6"/>
    </row>
    <row r="37" customFormat="false" ht="34.5" hidden="false" customHeight="true" outlineLevel="0" collapsed="false">
      <c r="A37" s="6" t="s">
        <v>69</v>
      </c>
      <c r="B37" s="6" t="s">
        <v>111</v>
      </c>
      <c r="C37" s="6" t="s">
        <v>112</v>
      </c>
      <c r="D37" s="6" t="s">
        <v>101</v>
      </c>
      <c r="E37" s="6" t="s">
        <v>102</v>
      </c>
      <c r="F37" s="6" t="n">
        <v>103</v>
      </c>
      <c r="G37" s="6" t="n">
        <v>102</v>
      </c>
      <c r="H37" s="6" t="s">
        <v>96</v>
      </c>
      <c r="I37" s="6" t="s">
        <v>97</v>
      </c>
      <c r="J37" s="6"/>
    </row>
    <row r="38" customFormat="false" ht="34.5" hidden="false" customHeight="true" outlineLevel="0" collapsed="false">
      <c r="A38" s="6" t="s">
        <v>69</v>
      </c>
      <c r="B38" s="6" t="s">
        <v>111</v>
      </c>
      <c r="C38" s="6" t="s">
        <v>112</v>
      </c>
      <c r="D38" s="6" t="s">
        <v>103</v>
      </c>
      <c r="E38" s="6" t="s">
        <v>102</v>
      </c>
      <c r="F38" s="6" t="n">
        <v>47</v>
      </c>
      <c r="G38" s="6" t="n">
        <v>47</v>
      </c>
      <c r="H38" s="6" t="s">
        <v>96</v>
      </c>
      <c r="I38" s="6" t="s">
        <v>97</v>
      </c>
      <c r="J38" s="6"/>
    </row>
    <row r="39" customFormat="false" ht="34.5" hidden="false" customHeight="true" outlineLevel="0" collapsed="false">
      <c r="A39" s="6" t="s">
        <v>69</v>
      </c>
      <c r="B39" s="6" t="s">
        <v>111</v>
      </c>
      <c r="C39" s="6" t="s">
        <v>112</v>
      </c>
      <c r="D39" s="6" t="s">
        <v>104</v>
      </c>
      <c r="E39" s="6" t="s">
        <v>102</v>
      </c>
      <c r="F39" s="6" t="n">
        <v>27</v>
      </c>
      <c r="G39" s="6" t="n">
        <v>27</v>
      </c>
      <c r="H39" s="6" t="s">
        <v>96</v>
      </c>
      <c r="I39" s="6" t="s">
        <v>97</v>
      </c>
      <c r="J39" s="6"/>
    </row>
    <row r="40" customFormat="false" ht="34.5" hidden="false" customHeight="true" outlineLevel="0" collapsed="false">
      <c r="A40" s="6" t="s">
        <v>70</v>
      </c>
      <c r="B40" s="6" t="s">
        <v>114</v>
      </c>
      <c r="C40" s="6" t="s">
        <v>115</v>
      </c>
      <c r="D40" s="6" t="s">
        <v>42</v>
      </c>
      <c r="E40" s="6" t="s">
        <v>95</v>
      </c>
      <c r="F40" s="6" t="s">
        <v>116</v>
      </c>
      <c r="G40" s="6" t="n">
        <v>2</v>
      </c>
      <c r="H40" s="6" t="s">
        <v>96</v>
      </c>
      <c r="I40" s="6" t="s">
        <v>97</v>
      </c>
      <c r="J40" s="6"/>
    </row>
    <row r="41" customFormat="false" ht="34.5" hidden="false" customHeight="true" outlineLevel="0" collapsed="false">
      <c r="A41" s="6" t="s">
        <v>70</v>
      </c>
      <c r="B41" s="6" t="s">
        <v>114</v>
      </c>
      <c r="C41" s="6" t="s">
        <v>115</v>
      </c>
      <c r="D41" s="6" t="s">
        <v>99</v>
      </c>
      <c r="E41" s="6" t="s">
        <v>95</v>
      </c>
      <c r="F41" s="6" t="s">
        <v>116</v>
      </c>
      <c r="G41" s="6" t="n">
        <v>5</v>
      </c>
      <c r="H41" s="6" t="s">
        <v>96</v>
      </c>
      <c r="I41" s="6" t="s">
        <v>97</v>
      </c>
      <c r="J41" s="6"/>
    </row>
    <row r="42" customFormat="false" ht="34.5" hidden="false" customHeight="true" outlineLevel="0" collapsed="false">
      <c r="A42" s="6" t="s">
        <v>70</v>
      </c>
      <c r="B42" s="6" t="s">
        <v>114</v>
      </c>
      <c r="C42" s="6" t="s">
        <v>115</v>
      </c>
      <c r="D42" s="6" t="s">
        <v>100</v>
      </c>
      <c r="E42" s="6" t="s">
        <v>95</v>
      </c>
      <c r="F42" s="6" t="s">
        <v>116</v>
      </c>
      <c r="G42" s="6" t="n">
        <v>2</v>
      </c>
      <c r="H42" s="6" t="s">
        <v>96</v>
      </c>
      <c r="I42" s="6" t="s">
        <v>97</v>
      </c>
      <c r="J42" s="6"/>
    </row>
    <row r="43" customFormat="false" ht="34.5" hidden="false" customHeight="true" outlineLevel="0" collapsed="false">
      <c r="A43" s="6" t="s">
        <v>70</v>
      </c>
      <c r="B43" s="6" t="s">
        <v>114</v>
      </c>
      <c r="C43" s="6" t="s">
        <v>115</v>
      </c>
      <c r="D43" s="6" t="s">
        <v>61</v>
      </c>
      <c r="E43" s="6" t="s">
        <v>95</v>
      </c>
      <c r="F43" s="6" t="s">
        <v>116</v>
      </c>
      <c r="G43" s="6" t="n">
        <v>0</v>
      </c>
      <c r="H43" s="6" t="s">
        <v>96</v>
      </c>
      <c r="I43" s="6" t="s">
        <v>97</v>
      </c>
      <c r="J43" s="6"/>
    </row>
    <row r="44" customFormat="false" ht="34.5" hidden="false" customHeight="true" outlineLevel="0" collapsed="false">
      <c r="A44" s="6" t="s">
        <v>70</v>
      </c>
      <c r="B44" s="6" t="s">
        <v>114</v>
      </c>
      <c r="C44" s="6" t="s">
        <v>115</v>
      </c>
      <c r="D44" s="6" t="s">
        <v>101</v>
      </c>
      <c r="E44" s="6" t="s">
        <v>102</v>
      </c>
      <c r="F44" s="6" t="s">
        <v>116</v>
      </c>
      <c r="G44" s="6" t="n">
        <v>21</v>
      </c>
      <c r="H44" s="6" t="s">
        <v>96</v>
      </c>
      <c r="I44" s="6" t="s">
        <v>97</v>
      </c>
      <c r="J44" s="6"/>
    </row>
    <row r="45" customFormat="false" ht="34.5" hidden="false" customHeight="true" outlineLevel="0" collapsed="false">
      <c r="A45" s="6" t="s">
        <v>70</v>
      </c>
      <c r="B45" s="6" t="s">
        <v>114</v>
      </c>
      <c r="C45" s="6" t="s">
        <v>115</v>
      </c>
      <c r="D45" s="6" t="s">
        <v>103</v>
      </c>
      <c r="E45" s="6" t="s">
        <v>102</v>
      </c>
      <c r="F45" s="6" t="s">
        <v>116</v>
      </c>
      <c r="G45" s="6" t="n">
        <v>36</v>
      </c>
      <c r="H45" s="6" t="s">
        <v>96</v>
      </c>
      <c r="I45" s="6" t="s">
        <v>97</v>
      </c>
      <c r="J45" s="6"/>
    </row>
    <row r="46" customFormat="false" ht="34.5" hidden="false" customHeight="true" outlineLevel="0" collapsed="false">
      <c r="A46" s="6" t="s">
        <v>70</v>
      </c>
      <c r="B46" s="6" t="s">
        <v>114</v>
      </c>
      <c r="C46" s="6" t="s">
        <v>115</v>
      </c>
      <c r="D46" s="6" t="s">
        <v>104</v>
      </c>
      <c r="E46" s="6" t="s">
        <v>102</v>
      </c>
      <c r="F46" s="6" t="s">
        <v>116</v>
      </c>
      <c r="G46" s="6" t="n">
        <v>36</v>
      </c>
      <c r="H46" s="6" t="s">
        <v>96</v>
      </c>
      <c r="I46" s="6" t="s">
        <v>97</v>
      </c>
      <c r="J46" s="6"/>
    </row>
    <row r="47" customFormat="false" ht="23.25" hidden="false" customHeight="true" outlineLevel="0" collapsed="false">
      <c r="A47" s="6" t="s">
        <v>71</v>
      </c>
      <c r="B47" s="6" t="s">
        <v>117</v>
      </c>
      <c r="C47" s="6" t="s">
        <v>118</v>
      </c>
      <c r="D47" s="6" t="s">
        <v>42</v>
      </c>
      <c r="E47" s="6" t="s">
        <v>95</v>
      </c>
      <c r="F47" s="6" t="n">
        <v>5</v>
      </c>
      <c r="G47" s="6" t="n">
        <v>1</v>
      </c>
      <c r="H47" s="6" t="s">
        <v>96</v>
      </c>
      <c r="I47" s="6" t="s">
        <v>97</v>
      </c>
      <c r="J47" s="6"/>
    </row>
    <row r="48" customFormat="false" ht="23.25" hidden="false" customHeight="true" outlineLevel="0" collapsed="false">
      <c r="A48" s="6" t="s">
        <v>71</v>
      </c>
      <c r="B48" s="6" t="s">
        <v>117</v>
      </c>
      <c r="C48" s="6" t="s">
        <v>118</v>
      </c>
      <c r="D48" s="6" t="s">
        <v>99</v>
      </c>
      <c r="E48" s="6" t="s">
        <v>95</v>
      </c>
      <c r="F48" s="6" t="n">
        <v>8</v>
      </c>
      <c r="G48" s="6" t="n">
        <v>2</v>
      </c>
      <c r="H48" s="6" t="s">
        <v>96</v>
      </c>
      <c r="I48" s="6" t="s">
        <v>97</v>
      </c>
      <c r="J48" s="6"/>
    </row>
    <row r="49" customFormat="false" ht="23.25" hidden="false" customHeight="true" outlineLevel="0" collapsed="false">
      <c r="A49" s="6" t="s">
        <v>71</v>
      </c>
      <c r="B49" s="6" t="s">
        <v>117</v>
      </c>
      <c r="C49" s="6" t="s">
        <v>118</v>
      </c>
      <c r="D49" s="6" t="s">
        <v>100</v>
      </c>
      <c r="E49" s="6" t="s">
        <v>95</v>
      </c>
      <c r="F49" s="6" t="n">
        <v>3</v>
      </c>
      <c r="G49" s="6" t="n">
        <v>1</v>
      </c>
      <c r="H49" s="6" t="s">
        <v>96</v>
      </c>
      <c r="I49" s="6" t="s">
        <v>97</v>
      </c>
      <c r="J49" s="6"/>
    </row>
    <row r="50" customFormat="false" ht="23.25" hidden="false" customHeight="true" outlineLevel="0" collapsed="false">
      <c r="A50" s="6" t="s">
        <v>71</v>
      </c>
      <c r="B50" s="6" t="s">
        <v>117</v>
      </c>
      <c r="C50" s="6" t="s">
        <v>118</v>
      </c>
      <c r="D50" s="6" t="s">
        <v>61</v>
      </c>
      <c r="E50" s="6" t="s">
        <v>95</v>
      </c>
      <c r="F50" s="6" t="n">
        <v>1</v>
      </c>
      <c r="G50" s="6" t="n">
        <v>0</v>
      </c>
      <c r="H50" s="6" t="s">
        <v>96</v>
      </c>
      <c r="I50" s="6" t="s">
        <v>97</v>
      </c>
      <c r="J50" s="6"/>
    </row>
    <row r="51" customFormat="false" ht="23.25" hidden="false" customHeight="true" outlineLevel="0" collapsed="false">
      <c r="A51" s="6" t="s">
        <v>71</v>
      </c>
      <c r="B51" s="6" t="s">
        <v>117</v>
      </c>
      <c r="C51" s="6" t="s">
        <v>118</v>
      </c>
      <c r="D51" s="6" t="s">
        <v>101</v>
      </c>
      <c r="E51" s="6" t="s">
        <v>102</v>
      </c>
      <c r="F51" s="6" t="n">
        <v>89</v>
      </c>
      <c r="G51" s="6" t="n">
        <v>26</v>
      </c>
      <c r="H51" s="6" t="s">
        <v>96</v>
      </c>
      <c r="I51" s="6" t="s">
        <v>97</v>
      </c>
      <c r="J51" s="6"/>
    </row>
    <row r="52" customFormat="false" ht="23.25" hidden="false" customHeight="true" outlineLevel="0" collapsed="false">
      <c r="A52" s="6" t="s">
        <v>71</v>
      </c>
      <c r="B52" s="6" t="s">
        <v>117</v>
      </c>
      <c r="C52" s="6" t="s">
        <v>118</v>
      </c>
      <c r="D52" s="6" t="s">
        <v>103</v>
      </c>
      <c r="E52" s="6" t="s">
        <v>102</v>
      </c>
      <c r="F52" s="6" t="n">
        <v>56</v>
      </c>
      <c r="G52" s="6" t="n">
        <v>55</v>
      </c>
      <c r="H52" s="6" t="s">
        <v>96</v>
      </c>
      <c r="I52" s="6" t="s">
        <v>97</v>
      </c>
      <c r="J52" s="6"/>
    </row>
    <row r="53" customFormat="false" ht="23.25" hidden="false" customHeight="true" outlineLevel="0" collapsed="false">
      <c r="A53" s="6" t="s">
        <v>71</v>
      </c>
      <c r="B53" s="6" t="s">
        <v>117</v>
      </c>
      <c r="C53" s="6" t="s">
        <v>118</v>
      </c>
      <c r="D53" s="6" t="s">
        <v>104</v>
      </c>
      <c r="E53" s="6" t="s">
        <v>102</v>
      </c>
      <c r="F53" s="6" t="n">
        <v>5</v>
      </c>
      <c r="G53" s="6" t="n">
        <v>5</v>
      </c>
      <c r="H53" s="6" t="s">
        <v>96</v>
      </c>
      <c r="I53" s="6" t="s">
        <v>97</v>
      </c>
      <c r="J53" s="6"/>
    </row>
    <row r="54" customFormat="false" ht="34.5" hidden="false" customHeight="true" outlineLevel="0" collapsed="false">
      <c r="A54" s="6" t="s">
        <v>72</v>
      </c>
      <c r="B54" s="6" t="s">
        <v>119</v>
      </c>
      <c r="C54" s="6" t="s">
        <v>120</v>
      </c>
      <c r="D54" s="6" t="s">
        <v>42</v>
      </c>
      <c r="E54" s="6" t="s">
        <v>95</v>
      </c>
      <c r="F54" s="6" t="n">
        <v>0</v>
      </c>
      <c r="G54" s="6" t="n">
        <v>0</v>
      </c>
      <c r="H54" s="6" t="s">
        <v>96</v>
      </c>
      <c r="I54" s="6" t="s">
        <v>97</v>
      </c>
      <c r="J54" s="6"/>
    </row>
    <row r="55" customFormat="false" ht="34.5" hidden="false" customHeight="true" outlineLevel="0" collapsed="false">
      <c r="A55" s="6" t="s">
        <v>72</v>
      </c>
      <c r="B55" s="6" t="s">
        <v>119</v>
      </c>
      <c r="C55" s="6" t="s">
        <v>120</v>
      </c>
      <c r="D55" s="6" t="s">
        <v>99</v>
      </c>
      <c r="E55" s="6" t="s">
        <v>95</v>
      </c>
      <c r="F55" s="6" t="n">
        <v>0</v>
      </c>
      <c r="G55" s="6" t="n">
        <v>0</v>
      </c>
      <c r="H55" s="6" t="s">
        <v>96</v>
      </c>
      <c r="I55" s="6" t="s">
        <v>97</v>
      </c>
      <c r="J55" s="6"/>
    </row>
    <row r="56" customFormat="false" ht="34.5" hidden="false" customHeight="true" outlineLevel="0" collapsed="false">
      <c r="A56" s="6" t="s">
        <v>72</v>
      </c>
      <c r="B56" s="6" t="s">
        <v>119</v>
      </c>
      <c r="C56" s="6" t="s">
        <v>120</v>
      </c>
      <c r="D56" s="6" t="s">
        <v>100</v>
      </c>
      <c r="E56" s="6" t="s">
        <v>95</v>
      </c>
      <c r="F56" s="6" t="n">
        <v>0</v>
      </c>
      <c r="G56" s="6" t="n">
        <v>0</v>
      </c>
      <c r="H56" s="6" t="s">
        <v>96</v>
      </c>
      <c r="I56" s="6" t="s">
        <v>97</v>
      </c>
      <c r="J56" s="6"/>
    </row>
    <row r="57" customFormat="false" ht="34.5" hidden="false" customHeight="true" outlineLevel="0" collapsed="false">
      <c r="A57" s="6" t="s">
        <v>72</v>
      </c>
      <c r="B57" s="6" t="s">
        <v>119</v>
      </c>
      <c r="C57" s="6" t="s">
        <v>120</v>
      </c>
      <c r="D57" s="6" t="s">
        <v>61</v>
      </c>
      <c r="E57" s="6" t="s">
        <v>95</v>
      </c>
      <c r="F57" s="6" t="n">
        <v>0</v>
      </c>
      <c r="G57" s="6" t="n">
        <v>0</v>
      </c>
      <c r="H57" s="6" t="s">
        <v>96</v>
      </c>
      <c r="I57" s="6" t="s">
        <v>97</v>
      </c>
      <c r="J57" s="6"/>
    </row>
    <row r="58" customFormat="false" ht="34.5" hidden="false" customHeight="true" outlineLevel="0" collapsed="false">
      <c r="A58" s="6" t="s">
        <v>72</v>
      </c>
      <c r="B58" s="6" t="s">
        <v>119</v>
      </c>
      <c r="C58" s="6" t="s">
        <v>120</v>
      </c>
      <c r="D58" s="6" t="s">
        <v>101</v>
      </c>
      <c r="E58" s="6" t="s">
        <v>102</v>
      </c>
      <c r="F58" s="6" t="n">
        <v>4</v>
      </c>
      <c r="G58" s="6" t="n">
        <v>4</v>
      </c>
      <c r="H58" s="6" t="s">
        <v>96</v>
      </c>
      <c r="I58" s="6" t="s">
        <v>97</v>
      </c>
      <c r="J58" s="6"/>
    </row>
    <row r="59" customFormat="false" ht="34.5" hidden="false" customHeight="true" outlineLevel="0" collapsed="false">
      <c r="A59" s="6" t="s">
        <v>72</v>
      </c>
      <c r="B59" s="6" t="s">
        <v>119</v>
      </c>
      <c r="C59" s="6" t="s">
        <v>120</v>
      </c>
      <c r="D59" s="6" t="s">
        <v>103</v>
      </c>
      <c r="E59" s="6" t="s">
        <v>102</v>
      </c>
      <c r="F59" s="6" t="n">
        <v>7</v>
      </c>
      <c r="G59" s="6" t="n">
        <v>7</v>
      </c>
      <c r="H59" s="6" t="s">
        <v>96</v>
      </c>
      <c r="I59" s="6" t="s">
        <v>97</v>
      </c>
      <c r="J59" s="6"/>
    </row>
    <row r="60" customFormat="false" ht="34.5" hidden="false" customHeight="true" outlineLevel="0" collapsed="false">
      <c r="A60" s="6" t="s">
        <v>72</v>
      </c>
      <c r="B60" s="6" t="s">
        <v>119</v>
      </c>
      <c r="C60" s="6" t="s">
        <v>120</v>
      </c>
      <c r="D60" s="6" t="s">
        <v>104</v>
      </c>
      <c r="E60" s="6" t="s">
        <v>102</v>
      </c>
      <c r="F60" s="6" t="n">
        <v>0</v>
      </c>
      <c r="G60" s="6" t="n">
        <v>0</v>
      </c>
      <c r="H60" s="6" t="s">
        <v>96</v>
      </c>
      <c r="I60" s="6" t="s">
        <v>97</v>
      </c>
      <c r="J60" s="6"/>
    </row>
    <row r="61" customFormat="false" ht="23.25" hidden="false" customHeight="true" outlineLevel="0" collapsed="false">
      <c r="A61" s="6" t="s">
        <v>73</v>
      </c>
      <c r="B61" s="6" t="s">
        <v>121</v>
      </c>
      <c r="C61" s="6" t="s">
        <v>122</v>
      </c>
      <c r="D61" s="6" t="s">
        <v>42</v>
      </c>
      <c r="E61" s="6" t="s">
        <v>95</v>
      </c>
      <c r="F61" s="6" t="n">
        <v>1</v>
      </c>
      <c r="G61" s="6" t="n">
        <v>0</v>
      </c>
      <c r="H61" s="6" t="s">
        <v>96</v>
      </c>
      <c r="I61" s="6" t="s">
        <v>97</v>
      </c>
      <c r="J61" s="6"/>
    </row>
    <row r="62" customFormat="false" ht="23.25" hidden="false" customHeight="true" outlineLevel="0" collapsed="false">
      <c r="A62" s="6" t="s">
        <v>73</v>
      </c>
      <c r="B62" s="6" t="s">
        <v>121</v>
      </c>
      <c r="C62" s="6" t="s">
        <v>122</v>
      </c>
      <c r="D62" s="6" t="s">
        <v>99</v>
      </c>
      <c r="E62" s="6" t="s">
        <v>95</v>
      </c>
      <c r="F62" s="6" t="n">
        <v>6</v>
      </c>
      <c r="G62" s="6" t="n">
        <v>2</v>
      </c>
      <c r="H62" s="6" t="s">
        <v>96</v>
      </c>
      <c r="I62" s="6" t="s">
        <v>97</v>
      </c>
      <c r="J62" s="6"/>
    </row>
    <row r="63" customFormat="false" ht="23.25" hidden="false" customHeight="true" outlineLevel="0" collapsed="false">
      <c r="A63" s="6" t="s">
        <v>73</v>
      </c>
      <c r="B63" s="6" t="s">
        <v>121</v>
      </c>
      <c r="C63" s="6" t="s">
        <v>122</v>
      </c>
      <c r="D63" s="6" t="s">
        <v>100</v>
      </c>
      <c r="E63" s="6" t="s">
        <v>95</v>
      </c>
      <c r="F63" s="6" t="n">
        <v>0</v>
      </c>
      <c r="G63" s="6" t="n">
        <v>0</v>
      </c>
      <c r="H63" s="6" t="s">
        <v>96</v>
      </c>
      <c r="I63" s="6" t="s">
        <v>97</v>
      </c>
      <c r="J63" s="6"/>
    </row>
    <row r="64" customFormat="false" ht="23.25" hidden="false" customHeight="true" outlineLevel="0" collapsed="false">
      <c r="A64" s="6" t="s">
        <v>73</v>
      </c>
      <c r="B64" s="6" t="s">
        <v>121</v>
      </c>
      <c r="C64" s="6" t="s">
        <v>122</v>
      </c>
      <c r="D64" s="6" t="s">
        <v>61</v>
      </c>
      <c r="E64" s="6" t="s">
        <v>95</v>
      </c>
      <c r="F64" s="6" t="n">
        <v>0</v>
      </c>
      <c r="G64" s="6" t="n">
        <v>0</v>
      </c>
      <c r="H64" s="6" t="s">
        <v>96</v>
      </c>
      <c r="I64" s="6" t="s">
        <v>97</v>
      </c>
      <c r="J64" s="6"/>
    </row>
    <row r="65" customFormat="false" ht="23.25" hidden="false" customHeight="true" outlineLevel="0" collapsed="false">
      <c r="A65" s="6" t="s">
        <v>73</v>
      </c>
      <c r="B65" s="6" t="s">
        <v>121</v>
      </c>
      <c r="C65" s="6" t="s">
        <v>122</v>
      </c>
      <c r="D65" s="6" t="s">
        <v>101</v>
      </c>
      <c r="E65" s="6" t="s">
        <v>102</v>
      </c>
      <c r="F65" s="6" t="n">
        <v>51</v>
      </c>
      <c r="G65" s="6" t="n">
        <v>22</v>
      </c>
      <c r="H65" s="6" t="s">
        <v>96</v>
      </c>
      <c r="I65" s="6" t="s">
        <v>97</v>
      </c>
      <c r="J65" s="6"/>
    </row>
    <row r="66" customFormat="false" ht="23.25" hidden="false" customHeight="true" outlineLevel="0" collapsed="false">
      <c r="A66" s="6" t="s">
        <v>73</v>
      </c>
      <c r="B66" s="6" t="s">
        <v>121</v>
      </c>
      <c r="C66" s="6" t="s">
        <v>122</v>
      </c>
      <c r="D66" s="6" t="s">
        <v>103</v>
      </c>
      <c r="E66" s="6" t="s">
        <v>102</v>
      </c>
      <c r="F66" s="6" t="n">
        <v>18</v>
      </c>
      <c r="G66" s="6" t="n">
        <v>18</v>
      </c>
      <c r="H66" s="6" t="s">
        <v>96</v>
      </c>
      <c r="I66" s="6" t="s">
        <v>97</v>
      </c>
      <c r="J66" s="6"/>
    </row>
    <row r="67" customFormat="false" ht="23.25" hidden="false" customHeight="true" outlineLevel="0" collapsed="false">
      <c r="A67" s="6" t="s">
        <v>73</v>
      </c>
      <c r="B67" s="6" t="s">
        <v>121</v>
      </c>
      <c r="C67" s="6" t="s">
        <v>122</v>
      </c>
      <c r="D67" s="6" t="s">
        <v>104</v>
      </c>
      <c r="E67" s="6" t="s">
        <v>102</v>
      </c>
      <c r="F67" s="6" t="n">
        <v>5</v>
      </c>
      <c r="G67" s="6" t="n">
        <v>5</v>
      </c>
      <c r="H67" s="6" t="s">
        <v>96</v>
      </c>
      <c r="I67" s="6" t="s">
        <v>97</v>
      </c>
      <c r="J67" s="6"/>
    </row>
    <row r="68" customFormat="false" ht="23.25" hidden="false" customHeight="true" outlineLevel="0" collapsed="false">
      <c r="A68" s="6" t="s">
        <v>74</v>
      </c>
      <c r="B68" s="6" t="s">
        <v>123</v>
      </c>
      <c r="C68" s="6" t="s">
        <v>124</v>
      </c>
      <c r="D68" s="6" t="s">
        <v>42</v>
      </c>
      <c r="E68" s="6" t="s">
        <v>95</v>
      </c>
      <c r="F68" s="6" t="n">
        <v>12</v>
      </c>
      <c r="G68" s="6" t="n">
        <v>3</v>
      </c>
      <c r="H68" s="6" t="s">
        <v>96</v>
      </c>
      <c r="I68" s="6" t="s">
        <v>97</v>
      </c>
      <c r="J68" s="6"/>
    </row>
    <row r="69" customFormat="false" ht="23.25" hidden="false" customHeight="true" outlineLevel="0" collapsed="false">
      <c r="A69" s="6" t="s">
        <v>74</v>
      </c>
      <c r="B69" s="6" t="s">
        <v>123</v>
      </c>
      <c r="C69" s="6" t="s">
        <v>124</v>
      </c>
      <c r="D69" s="6" t="s">
        <v>99</v>
      </c>
      <c r="E69" s="6" t="s">
        <v>95</v>
      </c>
      <c r="F69" s="6" t="n">
        <v>18</v>
      </c>
      <c r="G69" s="6" t="n">
        <v>3</v>
      </c>
      <c r="H69" s="6" t="s">
        <v>96</v>
      </c>
      <c r="I69" s="6" t="s">
        <v>97</v>
      </c>
      <c r="J69" s="6"/>
    </row>
    <row r="70" customFormat="false" ht="23.25" hidden="false" customHeight="true" outlineLevel="0" collapsed="false">
      <c r="A70" s="6" t="s">
        <v>74</v>
      </c>
      <c r="B70" s="6" t="s">
        <v>123</v>
      </c>
      <c r="C70" s="6" t="s">
        <v>124</v>
      </c>
      <c r="D70" s="6" t="s">
        <v>100</v>
      </c>
      <c r="E70" s="6" t="s">
        <v>95</v>
      </c>
      <c r="F70" s="6" t="n">
        <v>10</v>
      </c>
      <c r="G70" s="6" t="n">
        <v>0</v>
      </c>
      <c r="H70" s="6" t="s">
        <v>96</v>
      </c>
      <c r="I70" s="6" t="s">
        <v>97</v>
      </c>
      <c r="J70" s="6"/>
    </row>
    <row r="71" customFormat="false" ht="23.25" hidden="false" customHeight="true" outlineLevel="0" collapsed="false">
      <c r="A71" s="6" t="s">
        <v>74</v>
      </c>
      <c r="B71" s="6" t="s">
        <v>123</v>
      </c>
      <c r="C71" s="6" t="s">
        <v>124</v>
      </c>
      <c r="D71" s="6" t="s">
        <v>61</v>
      </c>
      <c r="E71" s="6" t="s">
        <v>95</v>
      </c>
      <c r="F71" s="6" t="n">
        <v>8</v>
      </c>
      <c r="G71" s="6" t="n">
        <v>0</v>
      </c>
      <c r="H71" s="6" t="s">
        <v>96</v>
      </c>
      <c r="I71" s="6" t="s">
        <v>97</v>
      </c>
      <c r="J71" s="6"/>
    </row>
    <row r="72" customFormat="false" ht="23.25" hidden="false" customHeight="true" outlineLevel="0" collapsed="false">
      <c r="A72" s="6" t="s">
        <v>74</v>
      </c>
      <c r="B72" s="6" t="s">
        <v>123</v>
      </c>
      <c r="C72" s="6" t="s">
        <v>124</v>
      </c>
      <c r="D72" s="6" t="s">
        <v>101</v>
      </c>
      <c r="E72" s="6" t="s">
        <v>102</v>
      </c>
      <c r="F72" s="6" t="n">
        <v>82</v>
      </c>
      <c r="G72" s="6" t="n">
        <v>20</v>
      </c>
      <c r="H72" s="6" t="s">
        <v>96</v>
      </c>
      <c r="I72" s="6" t="s">
        <v>97</v>
      </c>
      <c r="J72" s="6"/>
    </row>
    <row r="73" customFormat="false" ht="23.25" hidden="false" customHeight="true" outlineLevel="0" collapsed="false">
      <c r="A73" s="6" t="s">
        <v>74</v>
      </c>
      <c r="B73" s="6" t="s">
        <v>123</v>
      </c>
      <c r="C73" s="6" t="s">
        <v>124</v>
      </c>
      <c r="D73" s="6" t="s">
        <v>103</v>
      </c>
      <c r="E73" s="6" t="s">
        <v>102</v>
      </c>
      <c r="F73" s="6" t="n">
        <v>34</v>
      </c>
      <c r="G73" s="6" t="n">
        <v>26</v>
      </c>
      <c r="H73" s="6" t="s">
        <v>96</v>
      </c>
      <c r="I73" s="6" t="s">
        <v>97</v>
      </c>
      <c r="J73" s="6"/>
    </row>
    <row r="74" customFormat="false" ht="23.25" hidden="false" customHeight="true" outlineLevel="0" collapsed="false">
      <c r="A74" s="6" t="s">
        <v>74</v>
      </c>
      <c r="B74" s="6" t="s">
        <v>123</v>
      </c>
      <c r="C74" s="6" t="s">
        <v>124</v>
      </c>
      <c r="D74" s="6" t="s">
        <v>104</v>
      </c>
      <c r="E74" s="6" t="s">
        <v>102</v>
      </c>
      <c r="F74" s="6" t="n">
        <v>20</v>
      </c>
      <c r="G74" s="6" t="n">
        <v>11</v>
      </c>
      <c r="H74" s="6" t="s">
        <v>96</v>
      </c>
      <c r="I74" s="6" t="s">
        <v>97</v>
      </c>
      <c r="J74" s="6"/>
    </row>
    <row r="75" customFormat="false" ht="23.25" hidden="false" customHeight="true" outlineLevel="0" collapsed="false">
      <c r="A75" s="6" t="s">
        <v>75</v>
      </c>
      <c r="B75" s="6" t="s">
        <v>125</v>
      </c>
      <c r="C75" s="6" t="s">
        <v>126</v>
      </c>
      <c r="D75" s="6" t="s">
        <v>42</v>
      </c>
      <c r="E75" s="6" t="s">
        <v>95</v>
      </c>
      <c r="F75" s="6" t="n">
        <v>1</v>
      </c>
      <c r="G75" s="6" t="n">
        <v>1</v>
      </c>
      <c r="H75" s="6" t="s">
        <v>96</v>
      </c>
      <c r="I75" s="6" t="s">
        <v>97</v>
      </c>
      <c r="J75" s="6" t="s">
        <v>127</v>
      </c>
    </row>
    <row r="76" customFormat="false" ht="23.25" hidden="false" customHeight="true" outlineLevel="0" collapsed="false">
      <c r="A76" s="6" t="s">
        <v>75</v>
      </c>
      <c r="B76" s="6" t="s">
        <v>125</v>
      </c>
      <c r="C76" s="6" t="s">
        <v>126</v>
      </c>
      <c r="D76" s="6" t="s">
        <v>99</v>
      </c>
      <c r="E76" s="6" t="s">
        <v>95</v>
      </c>
      <c r="F76" s="6" t="n">
        <v>5</v>
      </c>
      <c r="G76" s="6" t="n">
        <v>2</v>
      </c>
      <c r="H76" s="6" t="s">
        <v>96</v>
      </c>
      <c r="I76" s="6" t="s">
        <v>97</v>
      </c>
      <c r="J76" s="6"/>
    </row>
    <row r="77" customFormat="false" ht="23.25" hidden="false" customHeight="true" outlineLevel="0" collapsed="false">
      <c r="A77" s="6" t="s">
        <v>75</v>
      </c>
      <c r="B77" s="6" t="s">
        <v>125</v>
      </c>
      <c r="C77" s="6" t="s">
        <v>126</v>
      </c>
      <c r="D77" s="6" t="s">
        <v>100</v>
      </c>
      <c r="E77" s="6" t="s">
        <v>95</v>
      </c>
      <c r="F77" s="6" t="n">
        <v>3</v>
      </c>
      <c r="G77" s="6" t="n">
        <v>1</v>
      </c>
      <c r="H77" s="6" t="s">
        <v>96</v>
      </c>
      <c r="I77" s="6" t="s">
        <v>97</v>
      </c>
      <c r="J77" s="6"/>
    </row>
    <row r="78" customFormat="false" ht="23.25" hidden="false" customHeight="true" outlineLevel="0" collapsed="false">
      <c r="A78" s="6" t="s">
        <v>75</v>
      </c>
      <c r="B78" s="6" t="s">
        <v>125</v>
      </c>
      <c r="C78" s="6" t="s">
        <v>126</v>
      </c>
      <c r="D78" s="6" t="s">
        <v>61</v>
      </c>
      <c r="E78" s="6" t="s">
        <v>95</v>
      </c>
      <c r="F78" s="6" t="n">
        <v>0</v>
      </c>
      <c r="G78" s="6" t="n">
        <v>0</v>
      </c>
      <c r="H78" s="6" t="s">
        <v>96</v>
      </c>
      <c r="I78" s="6" t="s">
        <v>97</v>
      </c>
      <c r="J78" s="6"/>
    </row>
    <row r="79" customFormat="false" ht="23.25" hidden="false" customHeight="true" outlineLevel="0" collapsed="false">
      <c r="A79" s="6" t="s">
        <v>75</v>
      </c>
      <c r="B79" s="6" t="s">
        <v>125</v>
      </c>
      <c r="C79" s="6" t="s">
        <v>126</v>
      </c>
      <c r="D79" s="6" t="s">
        <v>101</v>
      </c>
      <c r="E79" s="6" t="s">
        <v>102</v>
      </c>
      <c r="F79" s="6" t="n">
        <v>36</v>
      </c>
      <c r="G79" s="6" t="n">
        <v>12</v>
      </c>
      <c r="H79" s="6" t="s">
        <v>96</v>
      </c>
      <c r="I79" s="6" t="s">
        <v>97</v>
      </c>
      <c r="J79" s="6"/>
    </row>
    <row r="80" customFormat="false" ht="23.25" hidden="false" customHeight="true" outlineLevel="0" collapsed="false">
      <c r="A80" s="6" t="s">
        <v>75</v>
      </c>
      <c r="B80" s="6" t="s">
        <v>125</v>
      </c>
      <c r="C80" s="6" t="s">
        <v>126</v>
      </c>
      <c r="D80" s="6" t="s">
        <v>103</v>
      </c>
      <c r="E80" s="6" t="s">
        <v>102</v>
      </c>
      <c r="F80" s="6" t="n">
        <v>27</v>
      </c>
      <c r="G80" s="6" t="n">
        <v>27</v>
      </c>
      <c r="H80" s="6" t="s">
        <v>96</v>
      </c>
      <c r="I80" s="6" t="s">
        <v>97</v>
      </c>
      <c r="J80" s="6"/>
    </row>
    <row r="81" customFormat="false" ht="23.25" hidden="false" customHeight="true" outlineLevel="0" collapsed="false">
      <c r="A81" s="6" t="s">
        <v>75</v>
      </c>
      <c r="B81" s="6" t="s">
        <v>125</v>
      </c>
      <c r="C81" s="6" t="s">
        <v>126</v>
      </c>
      <c r="D81" s="6" t="s">
        <v>104</v>
      </c>
      <c r="E81" s="6" t="s">
        <v>102</v>
      </c>
      <c r="F81" s="6" t="n">
        <v>10</v>
      </c>
      <c r="G81" s="6" t="n">
        <v>10</v>
      </c>
      <c r="H81" s="6" t="s">
        <v>96</v>
      </c>
      <c r="I81" s="6" t="s">
        <v>97</v>
      </c>
      <c r="J81" s="6"/>
    </row>
    <row r="82" customFormat="false" ht="23.25" hidden="false" customHeight="true" outlineLevel="0" collapsed="false">
      <c r="A82" s="6" t="s">
        <v>76</v>
      </c>
      <c r="B82" s="6" t="s">
        <v>128</v>
      </c>
      <c r="C82" s="6" t="s">
        <v>129</v>
      </c>
      <c r="D82" s="6" t="s">
        <v>42</v>
      </c>
      <c r="E82" s="6" t="s">
        <v>95</v>
      </c>
      <c r="F82" s="6" t="n">
        <v>3</v>
      </c>
      <c r="G82" s="6" t="n">
        <v>3</v>
      </c>
      <c r="H82" s="6" t="s">
        <v>96</v>
      </c>
      <c r="I82" s="6" t="s">
        <v>97</v>
      </c>
      <c r="J82" s="6" t="s">
        <v>130</v>
      </c>
    </row>
    <row r="83" customFormat="false" ht="23.25" hidden="false" customHeight="true" outlineLevel="0" collapsed="false">
      <c r="A83" s="6" t="s">
        <v>76</v>
      </c>
      <c r="B83" s="6" t="s">
        <v>128</v>
      </c>
      <c r="C83" s="6" t="s">
        <v>129</v>
      </c>
      <c r="D83" s="6" t="s">
        <v>99</v>
      </c>
      <c r="E83" s="6" t="s">
        <v>95</v>
      </c>
      <c r="F83" s="6" t="n">
        <v>1</v>
      </c>
      <c r="G83" s="6" t="n">
        <v>1</v>
      </c>
      <c r="H83" s="6" t="s">
        <v>96</v>
      </c>
      <c r="I83" s="6" t="s">
        <v>97</v>
      </c>
      <c r="J83" s="6"/>
    </row>
    <row r="84" customFormat="false" ht="23.25" hidden="false" customHeight="true" outlineLevel="0" collapsed="false">
      <c r="A84" s="6" t="s">
        <v>76</v>
      </c>
      <c r="B84" s="6" t="s">
        <v>128</v>
      </c>
      <c r="C84" s="6" t="s">
        <v>129</v>
      </c>
      <c r="D84" s="6" t="s">
        <v>100</v>
      </c>
      <c r="E84" s="6" t="s">
        <v>95</v>
      </c>
      <c r="F84" s="6" t="n">
        <v>0</v>
      </c>
      <c r="G84" s="6" t="n">
        <v>0</v>
      </c>
      <c r="H84" s="6" t="s">
        <v>96</v>
      </c>
      <c r="I84" s="6" t="s">
        <v>97</v>
      </c>
      <c r="J84" s="6"/>
    </row>
    <row r="85" customFormat="false" ht="23.25" hidden="false" customHeight="true" outlineLevel="0" collapsed="false">
      <c r="A85" s="6" t="s">
        <v>76</v>
      </c>
      <c r="B85" s="6" t="s">
        <v>128</v>
      </c>
      <c r="C85" s="6" t="s">
        <v>129</v>
      </c>
      <c r="D85" s="6" t="s">
        <v>61</v>
      </c>
      <c r="E85" s="6" t="s">
        <v>95</v>
      </c>
      <c r="F85" s="6" t="n">
        <v>0</v>
      </c>
      <c r="G85" s="6" t="n">
        <v>0</v>
      </c>
      <c r="H85" s="6" t="s">
        <v>96</v>
      </c>
      <c r="I85" s="6" t="s">
        <v>97</v>
      </c>
      <c r="J85" s="6"/>
    </row>
    <row r="86" customFormat="false" ht="23.25" hidden="false" customHeight="true" outlineLevel="0" collapsed="false">
      <c r="A86" s="6" t="s">
        <v>76</v>
      </c>
      <c r="B86" s="6" t="s">
        <v>128</v>
      </c>
      <c r="C86" s="6" t="s">
        <v>129</v>
      </c>
      <c r="D86" s="6" t="s">
        <v>101</v>
      </c>
      <c r="E86" s="6" t="s">
        <v>102</v>
      </c>
      <c r="F86" s="6" t="n">
        <v>19</v>
      </c>
      <c r="G86" s="6" t="n">
        <v>10</v>
      </c>
      <c r="H86" s="6" t="s">
        <v>96</v>
      </c>
      <c r="I86" s="6" t="s">
        <v>97</v>
      </c>
      <c r="J86" s="6"/>
    </row>
    <row r="87" customFormat="false" ht="23.25" hidden="false" customHeight="true" outlineLevel="0" collapsed="false">
      <c r="A87" s="6" t="s">
        <v>76</v>
      </c>
      <c r="B87" s="6" t="s">
        <v>128</v>
      </c>
      <c r="C87" s="6" t="s">
        <v>129</v>
      </c>
      <c r="D87" s="6" t="s">
        <v>103</v>
      </c>
      <c r="E87" s="6" t="s">
        <v>102</v>
      </c>
      <c r="F87" s="6" t="n">
        <v>8</v>
      </c>
      <c r="G87" s="6" t="n">
        <v>8</v>
      </c>
      <c r="H87" s="6" t="s">
        <v>96</v>
      </c>
      <c r="I87" s="6" t="s">
        <v>97</v>
      </c>
      <c r="J87" s="6"/>
    </row>
    <row r="88" customFormat="false" ht="23.25" hidden="false" customHeight="true" outlineLevel="0" collapsed="false">
      <c r="A88" s="6" t="s">
        <v>76</v>
      </c>
      <c r="B88" s="6" t="s">
        <v>128</v>
      </c>
      <c r="C88" s="6" t="s">
        <v>129</v>
      </c>
      <c r="D88" s="6" t="s">
        <v>104</v>
      </c>
      <c r="E88" s="6" t="s">
        <v>102</v>
      </c>
      <c r="F88" s="6" t="n">
        <v>6</v>
      </c>
      <c r="G88" s="6" t="n">
        <v>6</v>
      </c>
      <c r="H88" s="6" t="s">
        <v>96</v>
      </c>
      <c r="I88" s="6" t="s">
        <v>97</v>
      </c>
      <c r="J88" s="6"/>
    </row>
    <row r="89" customFormat="false" ht="23.25" hidden="false" customHeight="true" outlineLevel="0" collapsed="false">
      <c r="A89" s="6" t="s">
        <v>77</v>
      </c>
      <c r="B89" s="6" t="s">
        <v>131</v>
      </c>
      <c r="C89" s="6" t="s">
        <v>132</v>
      </c>
      <c r="D89" s="6" t="s">
        <v>42</v>
      </c>
      <c r="E89" s="6" t="s">
        <v>95</v>
      </c>
      <c r="F89" s="6" t="n">
        <v>0</v>
      </c>
      <c r="G89" s="6" t="n">
        <v>0</v>
      </c>
      <c r="H89" s="6" t="s">
        <v>96</v>
      </c>
      <c r="I89" s="6" t="s">
        <v>97</v>
      </c>
      <c r="J89" s="6"/>
    </row>
    <row r="90" customFormat="false" ht="23.25" hidden="false" customHeight="true" outlineLevel="0" collapsed="false">
      <c r="A90" s="6" t="s">
        <v>77</v>
      </c>
      <c r="B90" s="6" t="s">
        <v>131</v>
      </c>
      <c r="C90" s="6" t="s">
        <v>132</v>
      </c>
      <c r="D90" s="6" t="s">
        <v>99</v>
      </c>
      <c r="E90" s="6" t="s">
        <v>95</v>
      </c>
      <c r="F90" s="6" t="n">
        <v>13</v>
      </c>
      <c r="G90" s="6" t="n">
        <v>0</v>
      </c>
      <c r="H90" s="6" t="s">
        <v>96</v>
      </c>
      <c r="I90" s="6" t="s">
        <v>97</v>
      </c>
      <c r="J90" s="6"/>
    </row>
    <row r="91" customFormat="false" ht="23.25" hidden="false" customHeight="true" outlineLevel="0" collapsed="false">
      <c r="A91" s="6" t="s">
        <v>77</v>
      </c>
      <c r="B91" s="6" t="s">
        <v>131</v>
      </c>
      <c r="C91" s="6" t="s">
        <v>132</v>
      </c>
      <c r="D91" s="6" t="s">
        <v>100</v>
      </c>
      <c r="E91" s="6" t="s">
        <v>95</v>
      </c>
      <c r="F91" s="6" t="n">
        <v>3</v>
      </c>
      <c r="G91" s="6" t="n">
        <v>1</v>
      </c>
      <c r="H91" s="6" t="s">
        <v>96</v>
      </c>
      <c r="I91" s="6" t="s">
        <v>97</v>
      </c>
      <c r="J91" s="6"/>
    </row>
    <row r="92" customFormat="false" ht="23.25" hidden="false" customHeight="true" outlineLevel="0" collapsed="false">
      <c r="A92" s="6" t="s">
        <v>77</v>
      </c>
      <c r="B92" s="6" t="s">
        <v>131</v>
      </c>
      <c r="C92" s="6" t="s">
        <v>132</v>
      </c>
      <c r="D92" s="6" t="s">
        <v>61</v>
      </c>
      <c r="E92" s="6" t="s">
        <v>95</v>
      </c>
      <c r="F92" s="6" t="n">
        <v>0</v>
      </c>
      <c r="G92" s="6" t="n">
        <v>0</v>
      </c>
      <c r="H92" s="6" t="s">
        <v>96</v>
      </c>
      <c r="I92" s="6" t="s">
        <v>97</v>
      </c>
      <c r="J92" s="6"/>
    </row>
    <row r="93" customFormat="false" ht="23.25" hidden="false" customHeight="true" outlineLevel="0" collapsed="false">
      <c r="A93" s="6" t="s">
        <v>77</v>
      </c>
      <c r="B93" s="6" t="s">
        <v>131</v>
      </c>
      <c r="C93" s="6" t="s">
        <v>132</v>
      </c>
      <c r="D93" s="6" t="s">
        <v>101</v>
      </c>
      <c r="E93" s="6" t="s">
        <v>102</v>
      </c>
      <c r="F93" s="6" t="n">
        <v>45</v>
      </c>
      <c r="G93" s="6" t="n">
        <v>25</v>
      </c>
      <c r="H93" s="6" t="s">
        <v>96</v>
      </c>
      <c r="I93" s="6" t="s">
        <v>97</v>
      </c>
      <c r="J93" s="6"/>
    </row>
    <row r="94" customFormat="false" ht="23.25" hidden="false" customHeight="true" outlineLevel="0" collapsed="false">
      <c r="A94" s="6" t="s">
        <v>77</v>
      </c>
      <c r="B94" s="6" t="s">
        <v>131</v>
      </c>
      <c r="C94" s="6" t="s">
        <v>132</v>
      </c>
      <c r="D94" s="6" t="s">
        <v>103</v>
      </c>
      <c r="E94" s="6" t="s">
        <v>102</v>
      </c>
      <c r="F94" s="6" t="n">
        <v>28</v>
      </c>
      <c r="G94" s="6" t="n">
        <v>28</v>
      </c>
      <c r="H94" s="6" t="s">
        <v>96</v>
      </c>
      <c r="I94" s="6" t="s">
        <v>97</v>
      </c>
      <c r="J94" s="6"/>
    </row>
    <row r="95" customFormat="false" ht="23.25" hidden="false" customHeight="true" outlineLevel="0" collapsed="false">
      <c r="A95" s="6" t="s">
        <v>77</v>
      </c>
      <c r="B95" s="6" t="s">
        <v>131</v>
      </c>
      <c r="C95" s="6" t="s">
        <v>132</v>
      </c>
      <c r="D95" s="6" t="s">
        <v>104</v>
      </c>
      <c r="E95" s="6" t="s">
        <v>102</v>
      </c>
      <c r="F95" s="6" t="n">
        <v>9</v>
      </c>
      <c r="G95" s="6" t="n">
        <v>9</v>
      </c>
      <c r="H95" s="6" t="s">
        <v>96</v>
      </c>
      <c r="I95" s="6" t="s">
        <v>97</v>
      </c>
      <c r="J95" s="6"/>
    </row>
    <row r="96" customFormat="false" ht="34.5" hidden="false" customHeight="true" outlineLevel="0" collapsed="false">
      <c r="A96" s="6" t="s">
        <v>78</v>
      </c>
      <c r="B96" s="6" t="s">
        <v>133</v>
      </c>
      <c r="C96" s="6" t="s">
        <v>134</v>
      </c>
      <c r="D96" s="6" t="s">
        <v>42</v>
      </c>
      <c r="E96" s="6" t="s">
        <v>95</v>
      </c>
      <c r="F96" s="6" t="s">
        <v>116</v>
      </c>
      <c r="G96" s="6" t="n">
        <v>0</v>
      </c>
      <c r="H96" s="6" t="s">
        <v>96</v>
      </c>
      <c r="I96" s="6" t="s">
        <v>97</v>
      </c>
      <c r="J96" s="6"/>
    </row>
    <row r="97" customFormat="false" ht="34.5" hidden="false" customHeight="true" outlineLevel="0" collapsed="false">
      <c r="A97" s="6" t="s">
        <v>78</v>
      </c>
      <c r="B97" s="6" t="s">
        <v>133</v>
      </c>
      <c r="C97" s="6" t="s">
        <v>134</v>
      </c>
      <c r="D97" s="6" t="s">
        <v>99</v>
      </c>
      <c r="E97" s="6" t="s">
        <v>95</v>
      </c>
      <c r="F97" s="6" t="s">
        <v>116</v>
      </c>
      <c r="G97" s="6" t="n">
        <v>0</v>
      </c>
      <c r="H97" s="6" t="s">
        <v>96</v>
      </c>
      <c r="I97" s="6" t="s">
        <v>97</v>
      </c>
      <c r="J97" s="6"/>
    </row>
    <row r="98" customFormat="false" ht="34.5" hidden="false" customHeight="true" outlineLevel="0" collapsed="false">
      <c r="A98" s="6" t="s">
        <v>78</v>
      </c>
      <c r="B98" s="6" t="s">
        <v>133</v>
      </c>
      <c r="C98" s="6" t="s">
        <v>134</v>
      </c>
      <c r="D98" s="6" t="s">
        <v>100</v>
      </c>
      <c r="E98" s="6" t="s">
        <v>95</v>
      </c>
      <c r="F98" s="6" t="s">
        <v>116</v>
      </c>
      <c r="G98" s="6" t="n">
        <v>0</v>
      </c>
      <c r="H98" s="6" t="s">
        <v>96</v>
      </c>
      <c r="I98" s="6" t="s">
        <v>97</v>
      </c>
      <c r="J98" s="6"/>
    </row>
    <row r="99" customFormat="false" ht="34.5" hidden="false" customHeight="true" outlineLevel="0" collapsed="false">
      <c r="A99" s="6" t="s">
        <v>78</v>
      </c>
      <c r="B99" s="6" t="s">
        <v>133</v>
      </c>
      <c r="C99" s="6" t="s">
        <v>134</v>
      </c>
      <c r="D99" s="6" t="s">
        <v>61</v>
      </c>
      <c r="E99" s="6" t="s">
        <v>95</v>
      </c>
      <c r="F99" s="6" t="s">
        <v>116</v>
      </c>
      <c r="G99" s="6" t="n">
        <v>0</v>
      </c>
      <c r="H99" s="6" t="s">
        <v>96</v>
      </c>
      <c r="I99" s="6" t="s">
        <v>97</v>
      </c>
      <c r="J99" s="6"/>
    </row>
    <row r="100" customFormat="false" ht="34.5" hidden="false" customHeight="true" outlineLevel="0" collapsed="false">
      <c r="A100" s="6" t="s">
        <v>78</v>
      </c>
      <c r="B100" s="6" t="s">
        <v>133</v>
      </c>
      <c r="C100" s="6" t="s">
        <v>134</v>
      </c>
      <c r="D100" s="6" t="s">
        <v>101</v>
      </c>
      <c r="E100" s="6" t="s">
        <v>102</v>
      </c>
      <c r="F100" s="6" t="s">
        <v>116</v>
      </c>
      <c r="G100" s="6" t="n">
        <v>15</v>
      </c>
      <c r="H100" s="6" t="s">
        <v>96</v>
      </c>
      <c r="I100" s="6" t="s">
        <v>97</v>
      </c>
      <c r="J100" s="6"/>
    </row>
    <row r="101" customFormat="false" ht="34.5" hidden="false" customHeight="true" outlineLevel="0" collapsed="false">
      <c r="A101" s="6" t="s">
        <v>78</v>
      </c>
      <c r="B101" s="6" t="s">
        <v>133</v>
      </c>
      <c r="C101" s="6" t="s">
        <v>134</v>
      </c>
      <c r="D101" s="6" t="s">
        <v>103</v>
      </c>
      <c r="E101" s="6" t="s">
        <v>102</v>
      </c>
      <c r="F101" s="6" t="s">
        <v>116</v>
      </c>
      <c r="G101" s="6" t="n">
        <v>12</v>
      </c>
      <c r="H101" s="6" t="s">
        <v>96</v>
      </c>
      <c r="I101" s="6" t="s">
        <v>97</v>
      </c>
      <c r="J101" s="6"/>
    </row>
    <row r="102" customFormat="false" ht="34.5" hidden="false" customHeight="true" outlineLevel="0" collapsed="false">
      <c r="A102" s="6" t="s">
        <v>78</v>
      </c>
      <c r="B102" s="6" t="s">
        <v>133</v>
      </c>
      <c r="C102" s="6" t="s">
        <v>134</v>
      </c>
      <c r="D102" s="6" t="s">
        <v>104</v>
      </c>
      <c r="E102" s="6" t="s">
        <v>102</v>
      </c>
      <c r="F102" s="6" t="s">
        <v>116</v>
      </c>
      <c r="G102" s="6" t="n">
        <v>1</v>
      </c>
      <c r="H102" s="6" t="s">
        <v>96</v>
      </c>
      <c r="I102" s="6" t="s">
        <v>97</v>
      </c>
      <c r="J102" s="6"/>
    </row>
    <row r="103" customFormat="false" ht="23.25" hidden="false" customHeight="true" outlineLevel="0" collapsed="false">
      <c r="A103" s="6" t="s">
        <v>79</v>
      </c>
      <c r="B103" s="6" t="s">
        <v>135</v>
      </c>
      <c r="C103" s="6" t="s">
        <v>136</v>
      </c>
      <c r="D103" s="6" t="s">
        <v>42</v>
      </c>
      <c r="E103" s="6" t="s">
        <v>95</v>
      </c>
      <c r="F103" s="6" t="n">
        <v>1</v>
      </c>
      <c r="G103" s="6" t="n">
        <v>1</v>
      </c>
      <c r="H103" s="6" t="s">
        <v>96</v>
      </c>
      <c r="I103" s="6" t="s">
        <v>97</v>
      </c>
      <c r="J103" s="6"/>
    </row>
    <row r="104" customFormat="false" ht="23.25" hidden="false" customHeight="true" outlineLevel="0" collapsed="false">
      <c r="A104" s="6" t="s">
        <v>79</v>
      </c>
      <c r="B104" s="6" t="s">
        <v>135</v>
      </c>
      <c r="C104" s="6" t="s">
        <v>136</v>
      </c>
      <c r="D104" s="6" t="s">
        <v>99</v>
      </c>
      <c r="E104" s="6" t="s">
        <v>95</v>
      </c>
      <c r="F104" s="6" t="n">
        <v>4</v>
      </c>
      <c r="G104" s="6" t="n">
        <v>0</v>
      </c>
      <c r="H104" s="6" t="s">
        <v>96</v>
      </c>
      <c r="I104" s="6" t="s">
        <v>97</v>
      </c>
      <c r="J104" s="6"/>
    </row>
    <row r="105" customFormat="false" ht="23.25" hidden="false" customHeight="true" outlineLevel="0" collapsed="false">
      <c r="A105" s="6" t="s">
        <v>79</v>
      </c>
      <c r="B105" s="6" t="s">
        <v>135</v>
      </c>
      <c r="C105" s="6" t="s">
        <v>136</v>
      </c>
      <c r="D105" s="6" t="s">
        <v>100</v>
      </c>
      <c r="E105" s="6" t="s">
        <v>95</v>
      </c>
      <c r="F105" s="6" t="n">
        <v>0</v>
      </c>
      <c r="G105" s="6" t="n">
        <v>0</v>
      </c>
      <c r="H105" s="6" t="s">
        <v>96</v>
      </c>
      <c r="I105" s="6" t="s">
        <v>97</v>
      </c>
      <c r="J105" s="6"/>
    </row>
    <row r="106" customFormat="false" ht="23.25" hidden="false" customHeight="true" outlineLevel="0" collapsed="false">
      <c r="A106" s="6" t="s">
        <v>79</v>
      </c>
      <c r="B106" s="6" t="s">
        <v>135</v>
      </c>
      <c r="C106" s="6" t="s">
        <v>136</v>
      </c>
      <c r="D106" s="6" t="s">
        <v>61</v>
      </c>
      <c r="E106" s="6" t="s">
        <v>95</v>
      </c>
      <c r="F106" s="6" t="n">
        <v>1</v>
      </c>
      <c r="G106" s="6" t="n">
        <v>0</v>
      </c>
      <c r="H106" s="6" t="s">
        <v>96</v>
      </c>
      <c r="I106" s="6" t="s">
        <v>97</v>
      </c>
      <c r="J106" s="6"/>
    </row>
    <row r="107" customFormat="false" ht="23.25" hidden="false" customHeight="true" outlineLevel="0" collapsed="false">
      <c r="A107" s="6" t="s">
        <v>79</v>
      </c>
      <c r="B107" s="6" t="s">
        <v>135</v>
      </c>
      <c r="C107" s="6" t="s">
        <v>136</v>
      </c>
      <c r="D107" s="6" t="s">
        <v>101</v>
      </c>
      <c r="E107" s="6" t="s">
        <v>102</v>
      </c>
      <c r="F107" s="6" t="n">
        <v>17</v>
      </c>
      <c r="G107" s="6" t="n">
        <v>9</v>
      </c>
      <c r="H107" s="6" t="s">
        <v>96</v>
      </c>
      <c r="I107" s="6" t="s">
        <v>97</v>
      </c>
      <c r="J107" s="6"/>
    </row>
    <row r="108" customFormat="false" ht="23.25" hidden="false" customHeight="true" outlineLevel="0" collapsed="false">
      <c r="A108" s="6" t="s">
        <v>79</v>
      </c>
      <c r="B108" s="6" t="s">
        <v>135</v>
      </c>
      <c r="C108" s="6" t="s">
        <v>136</v>
      </c>
      <c r="D108" s="6" t="s">
        <v>103</v>
      </c>
      <c r="E108" s="6" t="s">
        <v>102</v>
      </c>
      <c r="F108" s="6" t="n">
        <v>8</v>
      </c>
      <c r="G108" s="6" t="n">
        <v>8</v>
      </c>
      <c r="H108" s="6" t="s">
        <v>96</v>
      </c>
      <c r="I108" s="6" t="s">
        <v>97</v>
      </c>
      <c r="J108" s="6"/>
    </row>
    <row r="109" customFormat="false" ht="23.25" hidden="false" customHeight="true" outlineLevel="0" collapsed="false">
      <c r="A109" s="6" t="s">
        <v>79</v>
      </c>
      <c r="B109" s="6" t="s">
        <v>135</v>
      </c>
      <c r="C109" s="6" t="s">
        <v>136</v>
      </c>
      <c r="D109" s="6" t="s">
        <v>104</v>
      </c>
      <c r="E109" s="6" t="s">
        <v>102</v>
      </c>
      <c r="F109" s="6" t="n">
        <v>0</v>
      </c>
      <c r="G109" s="6" t="n">
        <v>0</v>
      </c>
      <c r="H109" s="6" t="s">
        <v>96</v>
      </c>
      <c r="I109" s="6" t="s">
        <v>97</v>
      </c>
      <c r="J109" s="6"/>
    </row>
    <row r="110" customFormat="false" ht="45.75" hidden="false" customHeight="true" outlineLevel="0" collapsed="false">
      <c r="A110" s="6" t="s">
        <v>80</v>
      </c>
      <c r="B110" s="6" t="s">
        <v>137</v>
      </c>
      <c r="C110" s="6" t="s">
        <v>138</v>
      </c>
      <c r="D110" s="6" t="s">
        <v>42</v>
      </c>
      <c r="E110" s="6" t="s">
        <v>95</v>
      </c>
      <c r="F110" s="6" t="n">
        <v>2</v>
      </c>
      <c r="G110" s="6" t="n">
        <v>0</v>
      </c>
      <c r="H110" s="6" t="s">
        <v>96</v>
      </c>
      <c r="I110" s="6" t="s">
        <v>97</v>
      </c>
      <c r="J110" s="6"/>
    </row>
    <row r="111" customFormat="false" ht="45.75" hidden="false" customHeight="true" outlineLevel="0" collapsed="false">
      <c r="A111" s="6" t="s">
        <v>80</v>
      </c>
      <c r="B111" s="6" t="s">
        <v>137</v>
      </c>
      <c r="C111" s="6" t="s">
        <v>138</v>
      </c>
      <c r="D111" s="6" t="s">
        <v>99</v>
      </c>
      <c r="E111" s="6" t="s">
        <v>95</v>
      </c>
      <c r="F111" s="6" t="n">
        <v>4</v>
      </c>
      <c r="G111" s="6" t="n">
        <v>1</v>
      </c>
      <c r="H111" s="6" t="s">
        <v>96</v>
      </c>
      <c r="I111" s="6" t="s">
        <v>97</v>
      </c>
      <c r="J111" s="6"/>
    </row>
    <row r="112" customFormat="false" ht="45.75" hidden="false" customHeight="true" outlineLevel="0" collapsed="false">
      <c r="A112" s="6" t="s">
        <v>80</v>
      </c>
      <c r="B112" s="6" t="s">
        <v>137</v>
      </c>
      <c r="C112" s="6" t="s">
        <v>138</v>
      </c>
      <c r="D112" s="6" t="s">
        <v>100</v>
      </c>
      <c r="E112" s="6" t="s">
        <v>95</v>
      </c>
      <c r="F112" s="6" t="n">
        <v>1</v>
      </c>
      <c r="G112" s="6" t="n">
        <v>0</v>
      </c>
      <c r="H112" s="6" t="s">
        <v>96</v>
      </c>
      <c r="I112" s="6" t="s">
        <v>97</v>
      </c>
      <c r="J112" s="6"/>
    </row>
    <row r="113" customFormat="false" ht="45.75" hidden="false" customHeight="true" outlineLevel="0" collapsed="false">
      <c r="A113" s="6" t="s">
        <v>80</v>
      </c>
      <c r="B113" s="6" t="s">
        <v>137</v>
      </c>
      <c r="C113" s="6" t="s">
        <v>138</v>
      </c>
      <c r="D113" s="6" t="s">
        <v>61</v>
      </c>
      <c r="E113" s="6" t="s">
        <v>95</v>
      </c>
      <c r="F113" s="6" t="n">
        <v>0</v>
      </c>
      <c r="G113" s="6" t="n">
        <v>0</v>
      </c>
      <c r="H113" s="6" t="s">
        <v>96</v>
      </c>
      <c r="I113" s="6" t="s">
        <v>97</v>
      </c>
      <c r="J113" s="6"/>
    </row>
    <row r="114" customFormat="false" ht="45.75" hidden="false" customHeight="true" outlineLevel="0" collapsed="false">
      <c r="A114" s="6" t="s">
        <v>80</v>
      </c>
      <c r="B114" s="6" t="s">
        <v>137</v>
      </c>
      <c r="C114" s="6" t="s">
        <v>138</v>
      </c>
      <c r="D114" s="6" t="s">
        <v>101</v>
      </c>
      <c r="E114" s="6" t="s">
        <v>102</v>
      </c>
      <c r="F114" s="6" t="n">
        <v>27</v>
      </c>
      <c r="G114" s="6" t="n">
        <v>15</v>
      </c>
      <c r="H114" s="6" t="s">
        <v>96</v>
      </c>
      <c r="I114" s="6" t="s">
        <v>97</v>
      </c>
      <c r="J114" s="6"/>
    </row>
    <row r="115" customFormat="false" ht="45.75" hidden="false" customHeight="true" outlineLevel="0" collapsed="false">
      <c r="A115" s="6" t="s">
        <v>80</v>
      </c>
      <c r="B115" s="6" t="s">
        <v>137</v>
      </c>
      <c r="C115" s="6" t="s">
        <v>138</v>
      </c>
      <c r="D115" s="6" t="s">
        <v>103</v>
      </c>
      <c r="E115" s="6" t="s">
        <v>102</v>
      </c>
      <c r="F115" s="6" t="n">
        <v>10</v>
      </c>
      <c r="G115" s="6" t="n">
        <v>9</v>
      </c>
      <c r="H115" s="6" t="s">
        <v>96</v>
      </c>
      <c r="I115" s="6" t="s">
        <v>97</v>
      </c>
      <c r="J115" s="6"/>
    </row>
    <row r="116" customFormat="false" ht="45.75" hidden="false" customHeight="true" outlineLevel="0" collapsed="false">
      <c r="A116" s="6" t="s">
        <v>80</v>
      </c>
      <c r="B116" s="6" t="s">
        <v>137</v>
      </c>
      <c r="C116" s="6" t="s">
        <v>138</v>
      </c>
      <c r="D116" s="6" t="s">
        <v>104</v>
      </c>
      <c r="E116" s="6" t="s">
        <v>102</v>
      </c>
      <c r="F116" s="6" t="n">
        <v>3</v>
      </c>
      <c r="G116" s="6" t="n">
        <v>3</v>
      </c>
      <c r="H116" s="6" t="s">
        <v>96</v>
      </c>
      <c r="I116" s="6" t="s">
        <v>97</v>
      </c>
      <c r="J116" s="6"/>
    </row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3"/>
    <col collapsed="false" customWidth="true" hidden="false" outlineLevel="0" max="5" min="5" style="1" width="50"/>
    <col collapsed="false" customWidth="true" hidden="false" outlineLevel="0" max="6" min="6" style="1" width="45"/>
    <col collapsed="false" customWidth="true" hidden="false" outlineLevel="0" max="7" min="7" style="1" width="26"/>
    <col collapsed="false" customWidth="true" hidden="false" outlineLevel="0" max="8" min="8" style="1" width="14"/>
    <col collapsed="false" customWidth="true" hidden="false" outlineLevel="0" max="9" min="9" style="1" width="60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4"/>
    <col collapsed="false" customWidth="true" hidden="false" outlineLevel="0" max="26" min="13" style="1" width="8.71"/>
  </cols>
  <sheetData>
    <row r="1" customFormat="false" ht="15.75" hidden="false" customHeight="true" outlineLevel="0" collapsed="false">
      <c r="A1" s="2" t="s">
        <v>139</v>
      </c>
    </row>
    <row r="2" customFormat="false" ht="15" hidden="false" customHeight="true" outlineLevel="0" collapsed="false">
      <c r="A2" s="3" t="s">
        <v>140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141</v>
      </c>
      <c r="B4" s="4" t="s">
        <v>64</v>
      </c>
      <c r="C4" s="4" t="s">
        <v>35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146</v>
      </c>
      <c r="I4" s="4" t="s">
        <v>147</v>
      </c>
      <c r="J4" s="4" t="s">
        <v>148</v>
      </c>
      <c r="K4" s="4" t="s">
        <v>149</v>
      </c>
      <c r="L4" s="10" t="s">
        <v>150</v>
      </c>
    </row>
    <row r="5" customFormat="false" ht="34.5" hidden="false" customHeight="true" outlineLevel="0" collapsed="false">
      <c r="A5" s="6" t="s">
        <v>151</v>
      </c>
      <c r="B5" s="6" t="s">
        <v>66</v>
      </c>
      <c r="C5" s="6" t="s">
        <v>152</v>
      </c>
      <c r="D5" s="6" t="s">
        <v>153</v>
      </c>
      <c r="E5" s="6" t="s">
        <v>154</v>
      </c>
      <c r="F5" s="6" t="s">
        <v>155</v>
      </c>
      <c r="G5" s="6" t="s">
        <v>42</v>
      </c>
      <c r="H5" s="6" t="s">
        <v>22</v>
      </c>
      <c r="I5" s="6" t="s">
        <v>156</v>
      </c>
      <c r="J5" s="12" t="s">
        <v>22</v>
      </c>
      <c r="K5" s="6" t="n">
        <f aca="false">IF(J5="","",IF(J5=H5,1,0))</f>
        <v>1</v>
      </c>
      <c r="L5" s="11" t="s">
        <v>22</v>
      </c>
    </row>
    <row r="6" customFormat="false" ht="34.5" hidden="false" customHeight="true" outlineLevel="0" collapsed="false">
      <c r="A6" s="6" t="s">
        <v>157</v>
      </c>
      <c r="B6" s="6" t="s">
        <v>67</v>
      </c>
      <c r="C6" s="6" t="s">
        <v>152</v>
      </c>
      <c r="D6" s="6" t="s">
        <v>158</v>
      </c>
      <c r="E6" s="6" t="s">
        <v>159</v>
      </c>
      <c r="F6" s="6" t="s">
        <v>160</v>
      </c>
      <c r="G6" s="6" t="s">
        <v>100</v>
      </c>
      <c r="H6" s="6" t="s">
        <v>22</v>
      </c>
      <c r="I6" s="6" t="s">
        <v>161</v>
      </c>
      <c r="J6" s="12" t="s">
        <v>22</v>
      </c>
      <c r="K6" s="6" t="n">
        <f aca="false">IF(J6="","",IF(J6=H6,1,0))</f>
        <v>1</v>
      </c>
      <c r="L6" s="11" t="s">
        <v>22</v>
      </c>
    </row>
    <row r="7" customFormat="false" ht="34.5" hidden="false" customHeight="true" outlineLevel="0" collapsed="false">
      <c r="A7" s="6" t="s">
        <v>162</v>
      </c>
      <c r="B7" s="6" t="s">
        <v>68</v>
      </c>
      <c r="C7" s="6" t="s">
        <v>152</v>
      </c>
      <c r="D7" s="6" t="s">
        <v>163</v>
      </c>
      <c r="E7" s="6" t="s">
        <v>164</v>
      </c>
      <c r="F7" s="6" t="s">
        <v>165</v>
      </c>
      <c r="G7" s="6" t="s">
        <v>166</v>
      </c>
      <c r="H7" s="6" t="s">
        <v>22</v>
      </c>
      <c r="I7" s="6" t="s">
        <v>167</v>
      </c>
      <c r="J7" s="12" t="s">
        <v>22</v>
      </c>
      <c r="K7" s="6" t="n">
        <f aca="false">IF(J7="","",IF(J7=H7,1,0))</f>
        <v>1</v>
      </c>
      <c r="L7" s="11" t="s">
        <v>22</v>
      </c>
    </row>
    <row r="8" customFormat="false" ht="34.5" hidden="false" customHeight="true" outlineLevel="0" collapsed="false">
      <c r="A8" s="6" t="s">
        <v>168</v>
      </c>
      <c r="B8" s="6" t="s">
        <v>69</v>
      </c>
      <c r="C8" s="6" t="s">
        <v>152</v>
      </c>
      <c r="D8" s="6" t="s">
        <v>169</v>
      </c>
      <c r="E8" s="6" t="s">
        <v>170</v>
      </c>
      <c r="F8" s="6" t="s">
        <v>171</v>
      </c>
      <c r="G8" s="6" t="s">
        <v>166</v>
      </c>
      <c r="H8" s="6" t="s">
        <v>22</v>
      </c>
      <c r="I8" s="6" t="s">
        <v>172</v>
      </c>
      <c r="J8" s="12" t="s">
        <v>22</v>
      </c>
      <c r="K8" s="6" t="n">
        <f aca="false">IF(J8="","",IF(J8=H8,1,0))</f>
        <v>1</v>
      </c>
      <c r="L8" s="11" t="s">
        <v>22</v>
      </c>
    </row>
    <row r="9" customFormat="false" ht="34.5" hidden="false" customHeight="true" outlineLevel="0" collapsed="false">
      <c r="A9" s="6" t="s">
        <v>173</v>
      </c>
      <c r="B9" s="6" t="s">
        <v>69</v>
      </c>
      <c r="C9" s="6" t="s">
        <v>152</v>
      </c>
      <c r="D9" s="6" t="s">
        <v>169</v>
      </c>
      <c r="E9" s="6" t="s">
        <v>174</v>
      </c>
      <c r="F9" s="6" t="s">
        <v>175</v>
      </c>
      <c r="G9" s="6" t="s">
        <v>99</v>
      </c>
      <c r="H9" s="6" t="s">
        <v>22</v>
      </c>
      <c r="I9" s="6" t="s">
        <v>176</v>
      </c>
      <c r="J9" s="12" t="s">
        <v>22</v>
      </c>
      <c r="K9" s="6" t="n">
        <f aca="false">IF(J9="","",IF(J9=H9,1,0))</f>
        <v>1</v>
      </c>
      <c r="L9" s="11" t="s">
        <v>22</v>
      </c>
    </row>
    <row r="10" customFormat="false" ht="23.25" hidden="false" customHeight="true" outlineLevel="0" collapsed="false">
      <c r="A10" s="6" t="s">
        <v>177</v>
      </c>
      <c r="B10" s="6" t="s">
        <v>69</v>
      </c>
      <c r="C10" s="6" t="s">
        <v>152</v>
      </c>
      <c r="D10" s="6" t="s">
        <v>169</v>
      </c>
      <c r="E10" s="6" t="s">
        <v>178</v>
      </c>
      <c r="F10" s="6" t="s">
        <v>179</v>
      </c>
      <c r="G10" s="6" t="s">
        <v>99</v>
      </c>
      <c r="H10" s="6" t="s">
        <v>22</v>
      </c>
      <c r="I10" s="6" t="s">
        <v>180</v>
      </c>
      <c r="J10" s="12" t="s">
        <v>22</v>
      </c>
      <c r="K10" s="6" t="n">
        <f aca="false">IF(J10="","",IF(J10=H10,1,0))</f>
        <v>1</v>
      </c>
      <c r="L10" s="11" t="s">
        <v>22</v>
      </c>
    </row>
    <row r="11" customFormat="false" ht="34.5" hidden="false" customHeight="true" outlineLevel="0" collapsed="false">
      <c r="A11" s="6" t="s">
        <v>181</v>
      </c>
      <c r="B11" s="6" t="s">
        <v>69</v>
      </c>
      <c r="C11" s="6" t="s">
        <v>152</v>
      </c>
      <c r="D11" s="6" t="s">
        <v>169</v>
      </c>
      <c r="E11" s="6" t="s">
        <v>182</v>
      </c>
      <c r="F11" s="6" t="s">
        <v>183</v>
      </c>
      <c r="G11" s="6" t="s">
        <v>99</v>
      </c>
      <c r="H11" s="6" t="s">
        <v>22</v>
      </c>
      <c r="I11" s="6" t="s">
        <v>184</v>
      </c>
      <c r="J11" s="12" t="s">
        <v>22</v>
      </c>
      <c r="K11" s="6" t="n">
        <f aca="false">IF(J11="","",IF(J11=H11,1,0))</f>
        <v>1</v>
      </c>
      <c r="L11" s="11" t="s">
        <v>22</v>
      </c>
    </row>
    <row r="12" customFormat="false" ht="34.5" hidden="false" customHeight="true" outlineLevel="0" collapsed="false">
      <c r="A12" s="6" t="s">
        <v>185</v>
      </c>
      <c r="B12" s="6" t="s">
        <v>70</v>
      </c>
      <c r="C12" s="6" t="s">
        <v>152</v>
      </c>
      <c r="D12" s="6" t="s">
        <v>186</v>
      </c>
      <c r="E12" s="6" t="s">
        <v>187</v>
      </c>
      <c r="F12" s="6" t="s">
        <v>188</v>
      </c>
      <c r="G12" s="6" t="s">
        <v>100</v>
      </c>
      <c r="H12" s="6" t="s">
        <v>22</v>
      </c>
      <c r="I12" s="6" t="s">
        <v>189</v>
      </c>
      <c r="J12" s="12" t="s">
        <v>22</v>
      </c>
      <c r="K12" s="6" t="n">
        <f aca="false">IF(J12="","",IF(J12=H12,1,0))</f>
        <v>1</v>
      </c>
      <c r="L12" s="11" t="s">
        <v>22</v>
      </c>
    </row>
    <row r="13" customFormat="false" ht="34.5" hidden="false" customHeight="true" outlineLevel="0" collapsed="false">
      <c r="A13" s="6" t="s">
        <v>190</v>
      </c>
      <c r="B13" s="6" t="s">
        <v>70</v>
      </c>
      <c r="C13" s="6" t="s">
        <v>152</v>
      </c>
      <c r="D13" s="6" t="s">
        <v>191</v>
      </c>
      <c r="E13" s="6" t="s">
        <v>192</v>
      </c>
      <c r="F13" s="6" t="s">
        <v>193</v>
      </c>
      <c r="G13" s="6" t="s">
        <v>166</v>
      </c>
      <c r="H13" s="6" t="s">
        <v>22</v>
      </c>
      <c r="I13" s="6" t="s">
        <v>194</v>
      </c>
      <c r="J13" s="12" t="s">
        <v>22</v>
      </c>
      <c r="K13" s="6" t="n">
        <f aca="false">IF(J13="","",IF(J13=H13,1,0))</f>
        <v>1</v>
      </c>
      <c r="L13" s="11" t="s">
        <v>22</v>
      </c>
    </row>
    <row r="14" customFormat="false" ht="34.5" hidden="false" customHeight="true" outlineLevel="0" collapsed="false">
      <c r="A14" s="6" t="s">
        <v>195</v>
      </c>
      <c r="B14" s="6" t="s">
        <v>70</v>
      </c>
      <c r="C14" s="6" t="s">
        <v>152</v>
      </c>
      <c r="D14" s="6" t="s">
        <v>196</v>
      </c>
      <c r="E14" s="6" t="s">
        <v>197</v>
      </c>
      <c r="F14" s="6" t="s">
        <v>198</v>
      </c>
      <c r="G14" s="6" t="s">
        <v>100</v>
      </c>
      <c r="H14" s="6" t="s">
        <v>22</v>
      </c>
      <c r="I14" s="6" t="s">
        <v>199</v>
      </c>
      <c r="J14" s="12" t="s">
        <v>22</v>
      </c>
      <c r="K14" s="6" t="n">
        <f aca="false">IF(J14="","",IF(J14=H14,1,0))</f>
        <v>1</v>
      </c>
      <c r="L14" s="11" t="s">
        <v>22</v>
      </c>
    </row>
    <row r="15" customFormat="false" ht="34.5" hidden="false" customHeight="true" outlineLevel="0" collapsed="false">
      <c r="A15" s="6" t="s">
        <v>200</v>
      </c>
      <c r="B15" s="6" t="s">
        <v>70</v>
      </c>
      <c r="C15" s="6" t="s">
        <v>152</v>
      </c>
      <c r="D15" s="6" t="s">
        <v>201</v>
      </c>
      <c r="E15" s="6" t="s">
        <v>202</v>
      </c>
      <c r="F15" s="6" t="s">
        <v>203</v>
      </c>
      <c r="G15" s="6" t="s">
        <v>99</v>
      </c>
      <c r="H15" s="6" t="s">
        <v>22</v>
      </c>
      <c r="I15" s="6" t="s">
        <v>204</v>
      </c>
      <c r="J15" s="12" t="s">
        <v>22</v>
      </c>
      <c r="K15" s="6" t="n">
        <f aca="false">IF(J15="","",IF(J15=H15,1,0))</f>
        <v>1</v>
      </c>
      <c r="L15" s="11" t="s">
        <v>22</v>
      </c>
    </row>
    <row r="16" customFormat="false" ht="23.25" hidden="false" customHeight="true" outlineLevel="0" collapsed="false">
      <c r="A16" s="6" t="s">
        <v>205</v>
      </c>
      <c r="B16" s="6" t="s">
        <v>70</v>
      </c>
      <c r="C16" s="6" t="s">
        <v>152</v>
      </c>
      <c r="D16" s="6" t="s">
        <v>206</v>
      </c>
      <c r="E16" s="6" t="s">
        <v>207</v>
      </c>
      <c r="F16" s="6" t="s">
        <v>208</v>
      </c>
      <c r="G16" s="6" t="s">
        <v>99</v>
      </c>
      <c r="H16" s="6" t="s">
        <v>22</v>
      </c>
      <c r="I16" s="6" t="s">
        <v>209</v>
      </c>
      <c r="J16" s="12" t="s">
        <v>22</v>
      </c>
      <c r="K16" s="6" t="n">
        <f aca="false">IF(J16="","",IF(J16=H16,1,0))</f>
        <v>1</v>
      </c>
      <c r="L16" s="11" t="s">
        <v>22</v>
      </c>
    </row>
    <row r="17" customFormat="false" ht="23.25" hidden="false" customHeight="true" outlineLevel="0" collapsed="false">
      <c r="A17" s="6" t="s">
        <v>210</v>
      </c>
      <c r="B17" s="6" t="s">
        <v>70</v>
      </c>
      <c r="C17" s="6" t="s">
        <v>152</v>
      </c>
      <c r="D17" s="6" t="s">
        <v>211</v>
      </c>
      <c r="E17" s="6" t="s">
        <v>212</v>
      </c>
      <c r="F17" s="6" t="s">
        <v>213</v>
      </c>
      <c r="G17" s="6" t="s">
        <v>99</v>
      </c>
      <c r="H17" s="6" t="s">
        <v>22</v>
      </c>
      <c r="I17" s="6" t="s">
        <v>214</v>
      </c>
      <c r="J17" s="12" t="s">
        <v>22</v>
      </c>
      <c r="K17" s="6" t="n">
        <f aca="false">IF(J17="","",IF(J17=H17,1,0))</f>
        <v>1</v>
      </c>
      <c r="L17" s="11" t="s">
        <v>22</v>
      </c>
    </row>
    <row r="18" customFormat="false" ht="34.5" hidden="false" customHeight="true" outlineLevel="0" collapsed="false">
      <c r="A18" s="6" t="s">
        <v>215</v>
      </c>
      <c r="B18" s="6" t="s">
        <v>70</v>
      </c>
      <c r="C18" s="6" t="s">
        <v>152</v>
      </c>
      <c r="D18" s="6" t="s">
        <v>216</v>
      </c>
      <c r="E18" s="6" t="s">
        <v>217</v>
      </c>
      <c r="F18" s="6" t="s">
        <v>218</v>
      </c>
      <c r="G18" s="6" t="s">
        <v>166</v>
      </c>
      <c r="H18" s="6" t="s">
        <v>22</v>
      </c>
      <c r="I18" s="6" t="s">
        <v>219</v>
      </c>
      <c r="J18" s="12" t="s">
        <v>22</v>
      </c>
      <c r="K18" s="6" t="n">
        <f aca="false">IF(J18="","",IF(J18=H18,1,0))</f>
        <v>1</v>
      </c>
      <c r="L18" s="11" t="s">
        <v>22</v>
      </c>
    </row>
    <row r="19" customFormat="false" ht="45.75" hidden="false" customHeight="true" outlineLevel="0" collapsed="false">
      <c r="A19" s="6" t="s">
        <v>220</v>
      </c>
      <c r="B19" s="6" t="s">
        <v>71</v>
      </c>
      <c r="C19" s="6" t="s">
        <v>152</v>
      </c>
      <c r="D19" s="6" t="s">
        <v>221</v>
      </c>
      <c r="E19" s="6" t="s">
        <v>222</v>
      </c>
      <c r="F19" s="6" t="s">
        <v>223</v>
      </c>
      <c r="G19" s="6" t="s">
        <v>224</v>
      </c>
      <c r="H19" s="6" t="s">
        <v>22</v>
      </c>
      <c r="I19" s="6" t="s">
        <v>225</v>
      </c>
      <c r="J19" s="12" t="s">
        <v>22</v>
      </c>
      <c r="K19" s="6" t="n">
        <f aca="false">IF(J19="","",IF(J19=H19,1,0))</f>
        <v>1</v>
      </c>
      <c r="L19" s="11" t="s">
        <v>22</v>
      </c>
    </row>
    <row r="20" customFormat="false" ht="45.75" hidden="false" customHeight="true" outlineLevel="0" collapsed="false">
      <c r="A20" s="6" t="s">
        <v>226</v>
      </c>
      <c r="B20" s="6" t="s">
        <v>71</v>
      </c>
      <c r="C20" s="6" t="s">
        <v>152</v>
      </c>
      <c r="D20" s="6" t="s">
        <v>227</v>
      </c>
      <c r="E20" s="6" t="s">
        <v>228</v>
      </c>
      <c r="F20" s="6" t="s">
        <v>229</v>
      </c>
      <c r="G20" s="6" t="s">
        <v>99</v>
      </c>
      <c r="H20" s="6" t="s">
        <v>22</v>
      </c>
      <c r="I20" s="6" t="s">
        <v>230</v>
      </c>
      <c r="J20" s="12" t="s">
        <v>22</v>
      </c>
      <c r="K20" s="6" t="n">
        <f aca="false">IF(J20="","",IF(J20=H20,1,0))</f>
        <v>1</v>
      </c>
      <c r="L20" s="11" t="s">
        <v>22</v>
      </c>
    </row>
    <row r="21" customFormat="false" ht="45.75" hidden="false" customHeight="true" outlineLevel="0" collapsed="false">
      <c r="A21" s="6" t="s">
        <v>231</v>
      </c>
      <c r="B21" s="6" t="s">
        <v>73</v>
      </c>
      <c r="C21" s="6" t="s">
        <v>152</v>
      </c>
      <c r="D21" s="6" t="s">
        <v>232</v>
      </c>
      <c r="E21" s="6" t="s">
        <v>233</v>
      </c>
      <c r="F21" s="6" t="s">
        <v>234</v>
      </c>
      <c r="G21" s="6" t="s">
        <v>99</v>
      </c>
      <c r="H21" s="6" t="s">
        <v>22</v>
      </c>
      <c r="I21" s="6" t="s">
        <v>235</v>
      </c>
      <c r="J21" s="12" t="s">
        <v>22</v>
      </c>
      <c r="K21" s="6" t="n">
        <f aca="false">IF(J21="","",IF(J21=H21,1,0))</f>
        <v>1</v>
      </c>
      <c r="L21" s="11" t="s">
        <v>22</v>
      </c>
    </row>
    <row r="22" customFormat="false" ht="45.75" hidden="false" customHeight="true" outlineLevel="0" collapsed="false">
      <c r="A22" s="6" t="s">
        <v>236</v>
      </c>
      <c r="B22" s="6" t="s">
        <v>73</v>
      </c>
      <c r="C22" s="6" t="s">
        <v>152</v>
      </c>
      <c r="D22" s="6" t="s">
        <v>237</v>
      </c>
      <c r="E22" s="6" t="s">
        <v>238</v>
      </c>
      <c r="F22" s="6" t="s">
        <v>239</v>
      </c>
      <c r="G22" s="6" t="s">
        <v>99</v>
      </c>
      <c r="H22" s="6" t="s">
        <v>22</v>
      </c>
      <c r="I22" s="6" t="s">
        <v>240</v>
      </c>
      <c r="J22" s="12" t="s">
        <v>22</v>
      </c>
      <c r="K22" s="6" t="n">
        <f aca="false">IF(J22="","",IF(J22=H22,1,0))</f>
        <v>1</v>
      </c>
      <c r="L22" s="11" t="s">
        <v>22</v>
      </c>
    </row>
    <row r="23" customFormat="false" ht="34.5" hidden="false" customHeight="true" outlineLevel="0" collapsed="false">
      <c r="A23" s="6" t="s">
        <v>241</v>
      </c>
      <c r="B23" s="6" t="s">
        <v>74</v>
      </c>
      <c r="C23" s="6" t="s">
        <v>152</v>
      </c>
      <c r="D23" s="6" t="s">
        <v>242</v>
      </c>
      <c r="E23" s="6" t="s">
        <v>243</v>
      </c>
      <c r="F23" s="6" t="s">
        <v>244</v>
      </c>
      <c r="G23" s="6" t="s">
        <v>42</v>
      </c>
      <c r="H23" s="6" t="s">
        <v>24</v>
      </c>
      <c r="I23" s="6" t="s">
        <v>245</v>
      </c>
      <c r="J23" s="12" t="s">
        <v>24</v>
      </c>
      <c r="K23" s="6" t="n">
        <f aca="false">IF(J23="","",IF(J23=H23,1,0))</f>
        <v>1</v>
      </c>
      <c r="L23" s="11" t="s">
        <v>24</v>
      </c>
    </row>
    <row r="24" customFormat="false" ht="34.5" hidden="false" customHeight="true" outlineLevel="0" collapsed="false">
      <c r="A24" s="6" t="s">
        <v>246</v>
      </c>
      <c r="B24" s="6" t="s">
        <v>74</v>
      </c>
      <c r="C24" s="6" t="s">
        <v>152</v>
      </c>
      <c r="D24" s="6" t="s">
        <v>247</v>
      </c>
      <c r="E24" s="6" t="s">
        <v>248</v>
      </c>
      <c r="F24" s="6" t="s">
        <v>249</v>
      </c>
      <c r="G24" s="6" t="s">
        <v>42</v>
      </c>
      <c r="H24" s="6" t="s">
        <v>24</v>
      </c>
      <c r="I24" s="6" t="s">
        <v>245</v>
      </c>
      <c r="J24" s="12" t="s">
        <v>24</v>
      </c>
      <c r="K24" s="6" t="n">
        <f aca="false">IF(J24="","",IF(J24=H24,1,0))</f>
        <v>1</v>
      </c>
      <c r="L24" s="11" t="s">
        <v>24</v>
      </c>
    </row>
    <row r="25" customFormat="false" ht="45.75" hidden="false" customHeight="true" outlineLevel="0" collapsed="false">
      <c r="A25" s="6" t="s">
        <v>250</v>
      </c>
      <c r="B25" s="6" t="s">
        <v>74</v>
      </c>
      <c r="C25" s="6" t="s">
        <v>152</v>
      </c>
      <c r="D25" s="6" t="s">
        <v>251</v>
      </c>
      <c r="E25" s="6" t="s">
        <v>252</v>
      </c>
      <c r="F25" s="6" t="s">
        <v>253</v>
      </c>
      <c r="G25" s="6" t="s">
        <v>42</v>
      </c>
      <c r="H25" s="6" t="s">
        <v>24</v>
      </c>
      <c r="I25" s="6" t="s">
        <v>245</v>
      </c>
      <c r="J25" s="12" t="s">
        <v>24</v>
      </c>
      <c r="K25" s="6" t="n">
        <f aca="false">IF(J25="","",IF(J25=H25,1,0))</f>
        <v>1</v>
      </c>
      <c r="L25" s="11" t="s">
        <v>24</v>
      </c>
    </row>
    <row r="26" customFormat="false" ht="34.5" hidden="false" customHeight="true" outlineLevel="0" collapsed="false">
      <c r="A26" s="6" t="s">
        <v>254</v>
      </c>
      <c r="B26" s="6" t="s">
        <v>74</v>
      </c>
      <c r="C26" s="6" t="s">
        <v>152</v>
      </c>
      <c r="D26" s="6" t="s">
        <v>255</v>
      </c>
      <c r="E26" s="6" t="s">
        <v>256</v>
      </c>
      <c r="F26" s="6" t="s">
        <v>257</v>
      </c>
      <c r="G26" s="6" t="s">
        <v>99</v>
      </c>
      <c r="H26" s="6" t="s">
        <v>24</v>
      </c>
      <c r="I26" s="6" t="s">
        <v>245</v>
      </c>
      <c r="J26" s="12" t="s">
        <v>24</v>
      </c>
      <c r="K26" s="6" t="n">
        <f aca="false">IF(J26="","",IF(J26=H26,1,0))</f>
        <v>1</v>
      </c>
      <c r="L26" s="11" t="s">
        <v>24</v>
      </c>
    </row>
    <row r="27" customFormat="false" ht="34.5" hidden="false" customHeight="true" outlineLevel="0" collapsed="false">
      <c r="A27" s="6" t="s">
        <v>258</v>
      </c>
      <c r="B27" s="6" t="s">
        <v>74</v>
      </c>
      <c r="C27" s="6" t="s">
        <v>152</v>
      </c>
      <c r="D27" s="6" t="s">
        <v>259</v>
      </c>
      <c r="E27" s="6" t="s">
        <v>260</v>
      </c>
      <c r="F27" s="6" t="s">
        <v>261</v>
      </c>
      <c r="G27" s="6" t="s">
        <v>99</v>
      </c>
      <c r="H27" s="6" t="s">
        <v>24</v>
      </c>
      <c r="I27" s="6" t="s">
        <v>245</v>
      </c>
      <c r="J27" s="12" t="s">
        <v>24</v>
      </c>
      <c r="K27" s="6" t="n">
        <f aca="false">IF(J27="","",IF(J27=H27,1,0))</f>
        <v>1</v>
      </c>
      <c r="L27" s="11" t="s">
        <v>24</v>
      </c>
    </row>
    <row r="28" customFormat="false" ht="34.5" hidden="false" customHeight="true" outlineLevel="0" collapsed="false">
      <c r="A28" s="6" t="s">
        <v>262</v>
      </c>
      <c r="B28" s="6" t="s">
        <v>74</v>
      </c>
      <c r="C28" s="6" t="s">
        <v>152</v>
      </c>
      <c r="D28" s="6" t="s">
        <v>263</v>
      </c>
      <c r="E28" s="6" t="s">
        <v>264</v>
      </c>
      <c r="F28" s="6" t="s">
        <v>265</v>
      </c>
      <c r="G28" s="6" t="s">
        <v>99</v>
      </c>
      <c r="H28" s="6" t="s">
        <v>24</v>
      </c>
      <c r="I28" s="6" t="s">
        <v>245</v>
      </c>
      <c r="J28" s="12" t="s">
        <v>24</v>
      </c>
      <c r="K28" s="6" t="n">
        <f aca="false">IF(J28="","",IF(J28=H28,1,0))</f>
        <v>1</v>
      </c>
      <c r="L28" s="11" t="s">
        <v>24</v>
      </c>
    </row>
    <row r="29" customFormat="false" ht="34.5" hidden="false" customHeight="true" outlineLevel="0" collapsed="false">
      <c r="A29" s="6" t="s">
        <v>266</v>
      </c>
      <c r="B29" s="6" t="s">
        <v>75</v>
      </c>
      <c r="C29" s="6" t="s">
        <v>152</v>
      </c>
      <c r="D29" s="6" t="s">
        <v>267</v>
      </c>
      <c r="E29" s="6" t="s">
        <v>268</v>
      </c>
      <c r="F29" s="6" t="s">
        <v>269</v>
      </c>
      <c r="G29" s="6" t="s">
        <v>224</v>
      </c>
      <c r="H29" s="6" t="s">
        <v>22</v>
      </c>
      <c r="I29" s="6" t="s">
        <v>270</v>
      </c>
      <c r="J29" s="12" t="s">
        <v>22</v>
      </c>
      <c r="K29" s="6" t="n">
        <f aca="false">IF(J29="","",IF(J29=H29,1,0))</f>
        <v>1</v>
      </c>
      <c r="L29" s="11" t="s">
        <v>22</v>
      </c>
    </row>
    <row r="30" customFormat="false" ht="34.5" hidden="false" customHeight="true" outlineLevel="0" collapsed="false">
      <c r="A30" s="6" t="s">
        <v>271</v>
      </c>
      <c r="B30" s="6" t="s">
        <v>75</v>
      </c>
      <c r="C30" s="6" t="s">
        <v>152</v>
      </c>
      <c r="D30" s="6" t="s">
        <v>272</v>
      </c>
      <c r="E30" s="6" t="s">
        <v>273</v>
      </c>
      <c r="F30" s="6" t="s">
        <v>274</v>
      </c>
      <c r="G30" s="6" t="s">
        <v>275</v>
      </c>
      <c r="H30" s="6" t="s">
        <v>22</v>
      </c>
      <c r="I30" s="6" t="s">
        <v>276</v>
      </c>
      <c r="J30" s="12" t="s">
        <v>22</v>
      </c>
      <c r="K30" s="6" t="n">
        <f aca="false">IF(J30="","",IF(J30=H30,1,0))</f>
        <v>1</v>
      </c>
      <c r="L30" s="11" t="s">
        <v>22</v>
      </c>
    </row>
    <row r="31" customFormat="false" ht="34.5" hidden="false" customHeight="true" outlineLevel="0" collapsed="false">
      <c r="A31" s="6" t="s">
        <v>277</v>
      </c>
      <c r="B31" s="6" t="s">
        <v>76</v>
      </c>
      <c r="C31" s="6" t="s">
        <v>152</v>
      </c>
      <c r="D31" s="6" t="s">
        <v>278</v>
      </c>
      <c r="E31" s="6" t="s">
        <v>279</v>
      </c>
      <c r="F31" s="6" t="s">
        <v>280</v>
      </c>
      <c r="G31" s="6" t="s">
        <v>42</v>
      </c>
      <c r="H31" s="6" t="s">
        <v>24</v>
      </c>
      <c r="I31" s="6" t="s">
        <v>281</v>
      </c>
      <c r="J31" s="12" t="s">
        <v>24</v>
      </c>
      <c r="K31" s="6" t="n">
        <f aca="false">IF(J31="","",IF(J31=H31,1,0))</f>
        <v>1</v>
      </c>
      <c r="L31" s="11" t="s">
        <v>24</v>
      </c>
    </row>
    <row r="32" customFormat="false" ht="34.5" hidden="false" customHeight="true" outlineLevel="0" collapsed="false">
      <c r="A32" s="6" t="s">
        <v>282</v>
      </c>
      <c r="B32" s="6" t="s">
        <v>76</v>
      </c>
      <c r="C32" s="6" t="s">
        <v>152</v>
      </c>
      <c r="D32" s="6" t="s">
        <v>283</v>
      </c>
      <c r="E32" s="6" t="s">
        <v>284</v>
      </c>
      <c r="F32" s="6" t="s">
        <v>285</v>
      </c>
      <c r="G32" s="6" t="s">
        <v>42</v>
      </c>
      <c r="H32" s="6" t="s">
        <v>24</v>
      </c>
      <c r="I32" s="6" t="s">
        <v>286</v>
      </c>
      <c r="J32" s="12" t="s">
        <v>24</v>
      </c>
      <c r="K32" s="6" t="n">
        <f aca="false">IF(J32="","",IF(J32=H32,1,0))</f>
        <v>1</v>
      </c>
      <c r="L32" s="11" t="s">
        <v>24</v>
      </c>
    </row>
    <row r="33" customFormat="false" ht="45.75" hidden="false" customHeight="true" outlineLevel="0" collapsed="false">
      <c r="A33" s="6" t="s">
        <v>287</v>
      </c>
      <c r="B33" s="6" t="s">
        <v>76</v>
      </c>
      <c r="C33" s="6" t="s">
        <v>152</v>
      </c>
      <c r="D33" s="6" t="s">
        <v>288</v>
      </c>
      <c r="E33" s="6" t="s">
        <v>289</v>
      </c>
      <c r="F33" s="6" t="s">
        <v>290</v>
      </c>
      <c r="G33" s="6" t="s">
        <v>166</v>
      </c>
      <c r="H33" s="6" t="s">
        <v>22</v>
      </c>
      <c r="I33" s="6" t="s">
        <v>291</v>
      </c>
      <c r="J33" s="12" t="s">
        <v>22</v>
      </c>
      <c r="K33" s="6" t="n">
        <f aca="false">IF(J33="","",IF(J33=H33,1,0))</f>
        <v>1</v>
      </c>
      <c r="L33" s="11" t="s">
        <v>22</v>
      </c>
    </row>
    <row r="34" customFormat="false" ht="45.75" hidden="false" customHeight="true" outlineLevel="0" collapsed="false">
      <c r="A34" s="6" t="s">
        <v>292</v>
      </c>
      <c r="B34" s="6" t="s">
        <v>77</v>
      </c>
      <c r="C34" s="6" t="s">
        <v>152</v>
      </c>
      <c r="D34" s="6" t="s">
        <v>293</v>
      </c>
      <c r="E34" s="6" t="s">
        <v>294</v>
      </c>
      <c r="F34" s="6" t="s">
        <v>295</v>
      </c>
      <c r="G34" s="6" t="s">
        <v>100</v>
      </c>
      <c r="H34" s="6" t="s">
        <v>22</v>
      </c>
      <c r="I34" s="6" t="s">
        <v>296</v>
      </c>
      <c r="J34" s="12" t="s">
        <v>22</v>
      </c>
      <c r="K34" s="6" t="n">
        <f aca="false">IF(J34="","",IF(J34=H34,1,0))</f>
        <v>1</v>
      </c>
      <c r="L34" s="11" t="s">
        <v>22</v>
      </c>
    </row>
    <row r="35" customFormat="false" ht="23.25" hidden="false" customHeight="true" outlineLevel="0" collapsed="false">
      <c r="A35" s="6" t="s">
        <v>297</v>
      </c>
      <c r="B35" s="6" t="s">
        <v>79</v>
      </c>
      <c r="C35" s="6" t="s">
        <v>152</v>
      </c>
      <c r="D35" s="6" t="s">
        <v>169</v>
      </c>
      <c r="E35" s="6" t="s">
        <v>298</v>
      </c>
      <c r="F35" s="6" t="s">
        <v>299</v>
      </c>
      <c r="G35" s="6" t="s">
        <v>42</v>
      </c>
      <c r="H35" s="6" t="s">
        <v>22</v>
      </c>
      <c r="I35" s="6" t="s">
        <v>300</v>
      </c>
      <c r="J35" s="12" t="s">
        <v>24</v>
      </c>
      <c r="K35" s="6" t="n">
        <f aca="false">IF(J35="","",IF(J35=H35,1,0))</f>
        <v>0</v>
      </c>
      <c r="L35" s="11" t="s">
        <v>22</v>
      </c>
    </row>
    <row r="36" customFormat="false" ht="34.5" hidden="false" customHeight="true" outlineLevel="0" collapsed="false">
      <c r="A36" s="6" t="s">
        <v>301</v>
      </c>
      <c r="B36" s="6" t="s">
        <v>80</v>
      </c>
      <c r="C36" s="6" t="s">
        <v>152</v>
      </c>
      <c r="D36" s="6" t="s">
        <v>302</v>
      </c>
      <c r="E36" s="6" t="s">
        <v>303</v>
      </c>
      <c r="F36" s="6" t="s">
        <v>304</v>
      </c>
      <c r="G36" s="6" t="s">
        <v>99</v>
      </c>
      <c r="H36" s="6" t="s">
        <v>22</v>
      </c>
      <c r="I36" s="6" t="s">
        <v>305</v>
      </c>
      <c r="J36" s="12" t="s">
        <v>22</v>
      </c>
      <c r="K36" s="6" t="n">
        <f aca="false">IF(J36="","",IF(J36=H36,1,0))</f>
        <v>1</v>
      </c>
      <c r="L36" s="11" t="s">
        <v>22</v>
      </c>
    </row>
    <row r="37" customFormat="false" ht="34.5" hidden="false" customHeight="true" outlineLevel="0" collapsed="false">
      <c r="A37" s="6" t="s">
        <v>306</v>
      </c>
      <c r="B37" s="6" t="s">
        <v>67</v>
      </c>
      <c r="C37" s="6" t="s">
        <v>307</v>
      </c>
      <c r="D37" s="6" t="s">
        <v>308</v>
      </c>
      <c r="E37" s="6" t="s">
        <v>309</v>
      </c>
      <c r="F37" s="6" t="s">
        <v>310</v>
      </c>
      <c r="G37" s="6"/>
      <c r="H37" s="6" t="s">
        <v>22</v>
      </c>
      <c r="I37" s="6" t="s">
        <v>311</v>
      </c>
      <c r="J37" s="12" t="s">
        <v>22</v>
      </c>
      <c r="K37" s="6" t="n">
        <f aca="false">IF(J37="","",IF(J37=H37,1,0))</f>
        <v>1</v>
      </c>
      <c r="L37" s="11" t="s">
        <v>22</v>
      </c>
    </row>
    <row r="38" customFormat="false" ht="34.5" hidden="false" customHeight="true" outlineLevel="0" collapsed="false">
      <c r="A38" s="6" t="s">
        <v>312</v>
      </c>
      <c r="B38" s="6" t="s">
        <v>68</v>
      </c>
      <c r="C38" s="6" t="s">
        <v>313</v>
      </c>
      <c r="D38" s="6" t="s">
        <v>314</v>
      </c>
      <c r="E38" s="6" t="s">
        <v>315</v>
      </c>
      <c r="F38" s="6" t="s">
        <v>316</v>
      </c>
      <c r="G38" s="6"/>
      <c r="H38" s="6" t="s">
        <v>22</v>
      </c>
      <c r="I38" s="6" t="s">
        <v>317</v>
      </c>
      <c r="J38" s="12" t="s">
        <v>22</v>
      </c>
      <c r="K38" s="6" t="n">
        <f aca="false">IF(J38="","",IF(J38=H38,1,0))</f>
        <v>1</v>
      </c>
      <c r="L38" s="11" t="s">
        <v>22</v>
      </c>
    </row>
    <row r="39" customFormat="false" ht="23.25" hidden="false" customHeight="true" outlineLevel="0" collapsed="false">
      <c r="A39" s="6" t="s">
        <v>318</v>
      </c>
      <c r="B39" s="6" t="s">
        <v>69</v>
      </c>
      <c r="C39" s="6" t="s">
        <v>313</v>
      </c>
      <c r="D39" s="6" t="s">
        <v>319</v>
      </c>
      <c r="E39" s="6" t="s">
        <v>320</v>
      </c>
      <c r="F39" s="6" t="s">
        <v>321</v>
      </c>
      <c r="G39" s="6"/>
      <c r="H39" s="6" t="s">
        <v>24</v>
      </c>
      <c r="I39" s="6" t="s">
        <v>322</v>
      </c>
      <c r="J39" s="12" t="s">
        <v>24</v>
      </c>
      <c r="K39" s="6" t="n">
        <f aca="false">IF(J39="","",IF(J39=H39,1,0))</f>
        <v>1</v>
      </c>
      <c r="L39" s="11" t="s">
        <v>24</v>
      </c>
    </row>
    <row r="40" customFormat="false" ht="23.25" hidden="false" customHeight="true" outlineLevel="0" collapsed="false">
      <c r="A40" s="6" t="s">
        <v>323</v>
      </c>
      <c r="B40" s="6" t="s">
        <v>69</v>
      </c>
      <c r="C40" s="6" t="s">
        <v>313</v>
      </c>
      <c r="D40" s="6" t="s">
        <v>324</v>
      </c>
      <c r="E40" s="6" t="s">
        <v>320</v>
      </c>
      <c r="F40" s="6" t="s">
        <v>321</v>
      </c>
      <c r="G40" s="6"/>
      <c r="H40" s="6" t="s">
        <v>24</v>
      </c>
      <c r="I40" s="6" t="s">
        <v>325</v>
      </c>
      <c r="J40" s="12" t="s">
        <v>24</v>
      </c>
      <c r="K40" s="6" t="n">
        <f aca="false">IF(J40="","",IF(J40=H40,1,0))</f>
        <v>1</v>
      </c>
      <c r="L40" s="11" t="s">
        <v>24</v>
      </c>
    </row>
    <row r="41" customFormat="false" ht="23.25" hidden="false" customHeight="true" outlineLevel="0" collapsed="false">
      <c r="A41" s="6" t="s">
        <v>326</v>
      </c>
      <c r="B41" s="6" t="s">
        <v>69</v>
      </c>
      <c r="C41" s="6" t="s">
        <v>313</v>
      </c>
      <c r="D41" s="6" t="s">
        <v>327</v>
      </c>
      <c r="E41" s="6" t="s">
        <v>320</v>
      </c>
      <c r="F41" s="6" t="s">
        <v>321</v>
      </c>
      <c r="G41" s="6"/>
      <c r="H41" s="6" t="s">
        <v>24</v>
      </c>
      <c r="I41" s="6" t="s">
        <v>328</v>
      </c>
      <c r="J41" s="12" t="s">
        <v>24</v>
      </c>
      <c r="K41" s="6" t="n">
        <f aca="false">IF(J41="","",IF(J41=H41,1,0))</f>
        <v>1</v>
      </c>
      <c r="L41" s="11" t="s">
        <v>24</v>
      </c>
    </row>
    <row r="42" customFormat="false" ht="45.75" hidden="false" customHeight="true" outlineLevel="0" collapsed="false">
      <c r="A42" s="6" t="s">
        <v>329</v>
      </c>
      <c r="B42" s="6" t="s">
        <v>70</v>
      </c>
      <c r="C42" s="6" t="s">
        <v>313</v>
      </c>
      <c r="D42" s="6" t="s">
        <v>330</v>
      </c>
      <c r="E42" s="6" t="s">
        <v>331</v>
      </c>
      <c r="F42" s="6" t="s">
        <v>332</v>
      </c>
      <c r="G42" s="6"/>
      <c r="H42" s="6" t="s">
        <v>24</v>
      </c>
      <c r="I42" s="6" t="s">
        <v>333</v>
      </c>
      <c r="J42" s="12" t="s">
        <v>24</v>
      </c>
      <c r="K42" s="6" t="n">
        <f aca="false">IF(J42="","",IF(J42=H42,1,0))</f>
        <v>1</v>
      </c>
      <c r="L42" s="11" t="s">
        <v>24</v>
      </c>
    </row>
    <row r="43" customFormat="false" ht="45.75" hidden="false" customHeight="true" outlineLevel="0" collapsed="false">
      <c r="A43" s="6" t="s">
        <v>334</v>
      </c>
      <c r="B43" s="6" t="s">
        <v>70</v>
      </c>
      <c r="C43" s="6" t="s">
        <v>313</v>
      </c>
      <c r="D43" s="6" t="s">
        <v>335</v>
      </c>
      <c r="E43" s="6" t="s">
        <v>331</v>
      </c>
      <c r="F43" s="6" t="s">
        <v>332</v>
      </c>
      <c r="G43" s="6"/>
      <c r="H43" s="6" t="s">
        <v>24</v>
      </c>
      <c r="I43" s="6" t="s">
        <v>336</v>
      </c>
      <c r="J43" s="12" t="s">
        <v>24</v>
      </c>
      <c r="K43" s="6" t="n">
        <f aca="false">IF(J43="","",IF(J43=H43,1,0))</f>
        <v>1</v>
      </c>
      <c r="L43" s="11" t="s">
        <v>24</v>
      </c>
    </row>
    <row r="44" customFormat="false" ht="23.25" hidden="false" customHeight="true" outlineLevel="0" collapsed="false">
      <c r="A44" s="6" t="s">
        <v>337</v>
      </c>
      <c r="B44" s="6" t="s">
        <v>71</v>
      </c>
      <c r="C44" s="6" t="s">
        <v>313</v>
      </c>
      <c r="D44" s="6" t="s">
        <v>338</v>
      </c>
      <c r="E44" s="6" t="s">
        <v>339</v>
      </c>
      <c r="F44" s="6" t="s">
        <v>340</v>
      </c>
      <c r="G44" s="6"/>
      <c r="H44" s="6" t="s">
        <v>24</v>
      </c>
      <c r="I44" s="6" t="s">
        <v>341</v>
      </c>
      <c r="J44" s="12" t="s">
        <v>24</v>
      </c>
      <c r="K44" s="6" t="n">
        <f aca="false">IF(J44="","",IF(J44=H44,1,0))</f>
        <v>1</v>
      </c>
      <c r="L44" s="11" t="s">
        <v>24</v>
      </c>
    </row>
    <row r="45" customFormat="false" ht="23.25" hidden="false" customHeight="true" outlineLevel="0" collapsed="false">
      <c r="A45" s="6" t="s">
        <v>342</v>
      </c>
      <c r="B45" s="6" t="s">
        <v>71</v>
      </c>
      <c r="C45" s="6" t="s">
        <v>313</v>
      </c>
      <c r="D45" s="6" t="s">
        <v>343</v>
      </c>
      <c r="E45" s="6" t="s">
        <v>339</v>
      </c>
      <c r="F45" s="6" t="s">
        <v>340</v>
      </c>
      <c r="G45" s="6"/>
      <c r="H45" s="6" t="s">
        <v>24</v>
      </c>
      <c r="I45" s="6" t="s">
        <v>344</v>
      </c>
      <c r="J45" s="12" t="s">
        <v>24</v>
      </c>
      <c r="K45" s="6" t="n">
        <f aca="false">IF(J45="","",IF(J45=H45,1,0))</f>
        <v>1</v>
      </c>
      <c r="L45" s="11" t="s">
        <v>24</v>
      </c>
    </row>
    <row r="46" customFormat="false" ht="34.5" hidden="false" customHeight="true" outlineLevel="0" collapsed="false">
      <c r="A46" s="6" t="s">
        <v>345</v>
      </c>
      <c r="B46" s="6" t="s">
        <v>73</v>
      </c>
      <c r="C46" s="6" t="s">
        <v>313</v>
      </c>
      <c r="D46" s="6" t="s">
        <v>346</v>
      </c>
      <c r="E46" s="6" t="s">
        <v>347</v>
      </c>
      <c r="F46" s="6" t="s">
        <v>348</v>
      </c>
      <c r="G46" s="6"/>
      <c r="H46" s="6" t="s">
        <v>24</v>
      </c>
      <c r="I46" s="6" t="s">
        <v>349</v>
      </c>
      <c r="J46" s="12" t="s">
        <v>24</v>
      </c>
      <c r="K46" s="6" t="n">
        <f aca="false">IF(J46="","",IF(J46=H46,1,0))</f>
        <v>1</v>
      </c>
      <c r="L46" s="11" t="s">
        <v>24</v>
      </c>
    </row>
    <row r="47" customFormat="false" ht="34.5" hidden="false" customHeight="true" outlineLevel="0" collapsed="false">
      <c r="A47" s="6" t="s">
        <v>350</v>
      </c>
      <c r="B47" s="6" t="s">
        <v>73</v>
      </c>
      <c r="C47" s="6" t="s">
        <v>313</v>
      </c>
      <c r="D47" s="6" t="s">
        <v>351</v>
      </c>
      <c r="E47" s="6" t="s">
        <v>347</v>
      </c>
      <c r="F47" s="6" t="s">
        <v>348</v>
      </c>
      <c r="G47" s="6"/>
      <c r="H47" s="6" t="s">
        <v>24</v>
      </c>
      <c r="I47" s="6" t="s">
        <v>352</v>
      </c>
      <c r="J47" s="12" t="s">
        <v>24</v>
      </c>
      <c r="K47" s="6" t="n">
        <f aca="false">IF(J47="","",IF(J47=H47,1,0))</f>
        <v>1</v>
      </c>
      <c r="L47" s="11" t="s">
        <v>24</v>
      </c>
    </row>
    <row r="48" customFormat="false" ht="34.5" hidden="false" customHeight="true" outlineLevel="0" collapsed="false">
      <c r="A48" s="6" t="s">
        <v>353</v>
      </c>
      <c r="B48" s="6" t="s">
        <v>73</v>
      </c>
      <c r="C48" s="6" t="s">
        <v>313</v>
      </c>
      <c r="D48" s="6" t="s">
        <v>354</v>
      </c>
      <c r="E48" s="6" t="s">
        <v>347</v>
      </c>
      <c r="F48" s="6" t="s">
        <v>348</v>
      </c>
      <c r="G48" s="6"/>
      <c r="H48" s="6" t="s">
        <v>22</v>
      </c>
      <c r="I48" s="6" t="s">
        <v>355</v>
      </c>
      <c r="J48" s="12" t="s">
        <v>24</v>
      </c>
      <c r="K48" s="6" t="n">
        <f aca="false">IF(J48="","",IF(J48=H48,1,0))</f>
        <v>0</v>
      </c>
      <c r="L48" s="11" t="s">
        <v>22</v>
      </c>
    </row>
    <row r="49" customFormat="false" ht="23.25" hidden="false" customHeight="true" outlineLevel="0" collapsed="false">
      <c r="A49" s="6" t="s">
        <v>356</v>
      </c>
      <c r="B49" s="6" t="s">
        <v>76</v>
      </c>
      <c r="C49" s="6" t="s">
        <v>313</v>
      </c>
      <c r="D49" s="6" t="s">
        <v>357</v>
      </c>
      <c r="E49" s="6" t="s">
        <v>358</v>
      </c>
      <c r="F49" s="6" t="s">
        <v>359</v>
      </c>
      <c r="G49" s="6" t="s">
        <v>166</v>
      </c>
      <c r="H49" s="6" t="s">
        <v>22</v>
      </c>
      <c r="I49" s="6" t="s">
        <v>360</v>
      </c>
      <c r="J49" s="12" t="s">
        <v>22</v>
      </c>
      <c r="K49" s="6" t="n">
        <f aca="false">IF(J49="","",IF(J49=H49,1,0))</f>
        <v>1</v>
      </c>
      <c r="L49" s="11" t="s">
        <v>22</v>
      </c>
    </row>
    <row r="50" customFormat="false" ht="34.5" hidden="false" customHeight="true" outlineLevel="0" collapsed="false">
      <c r="A50" s="6" t="s">
        <v>361</v>
      </c>
      <c r="B50" s="6" t="s">
        <v>76</v>
      </c>
      <c r="C50" s="6" t="s">
        <v>313</v>
      </c>
      <c r="D50" s="6" t="s">
        <v>362</v>
      </c>
      <c r="E50" s="6" t="s">
        <v>358</v>
      </c>
      <c r="F50" s="6" t="s">
        <v>359</v>
      </c>
      <c r="G50" s="6" t="s">
        <v>166</v>
      </c>
      <c r="H50" s="6" t="s">
        <v>24</v>
      </c>
      <c r="I50" s="6" t="s">
        <v>363</v>
      </c>
      <c r="J50" s="12" t="s">
        <v>24</v>
      </c>
      <c r="K50" s="6" t="n">
        <f aca="false">IF(J50="","",IF(J50=H50,1,0))</f>
        <v>1</v>
      </c>
      <c r="L50" s="11" t="s">
        <v>24</v>
      </c>
    </row>
    <row r="51" customFormat="false" ht="23.25" hidden="false" customHeight="true" outlineLevel="0" collapsed="false">
      <c r="A51" s="6" t="s">
        <v>364</v>
      </c>
      <c r="B51" s="6" t="s">
        <v>78</v>
      </c>
      <c r="C51" s="6" t="s">
        <v>313</v>
      </c>
      <c r="D51" s="6" t="s">
        <v>365</v>
      </c>
      <c r="E51" s="6" t="s">
        <v>366</v>
      </c>
      <c r="F51" s="6" t="s">
        <v>367</v>
      </c>
      <c r="G51" s="6" t="s">
        <v>166</v>
      </c>
      <c r="H51" s="6" t="s">
        <v>22</v>
      </c>
      <c r="I51" s="6" t="s">
        <v>368</v>
      </c>
      <c r="J51" s="12" t="s">
        <v>24</v>
      </c>
      <c r="K51" s="6" t="n">
        <f aca="false">IF(J51="","",IF(J51=H51,1,0))</f>
        <v>0</v>
      </c>
      <c r="L51" s="11" t="s">
        <v>22</v>
      </c>
    </row>
    <row r="52" customFormat="false" ht="34.5" hidden="false" customHeight="true" outlineLevel="0" collapsed="false">
      <c r="A52" s="6" t="s">
        <v>369</v>
      </c>
      <c r="B52" s="6" t="s">
        <v>80</v>
      </c>
      <c r="C52" s="6" t="s">
        <v>313</v>
      </c>
      <c r="D52" s="6" t="s">
        <v>370</v>
      </c>
      <c r="E52" s="6" t="s">
        <v>371</v>
      </c>
      <c r="F52" s="6" t="s">
        <v>372</v>
      </c>
      <c r="G52" s="6" t="s">
        <v>166</v>
      </c>
      <c r="H52" s="6" t="s">
        <v>24</v>
      </c>
      <c r="I52" s="6" t="s">
        <v>373</v>
      </c>
      <c r="J52" s="12" t="s">
        <v>24</v>
      </c>
      <c r="K52" s="6" t="n">
        <f aca="false">IF(J52="","",IF(J52=H52,1,0))</f>
        <v>1</v>
      </c>
      <c r="L52" s="11" t="s">
        <v>24</v>
      </c>
    </row>
    <row r="53" customFormat="false" ht="15.75" hidden="false" customHeight="true" outlineLevel="0" collapsed="false"/>
    <row r="54" customFormat="false" ht="15" hidden="false" customHeight="true" outlineLevel="0" collapsed="false">
      <c r="I54" s="9" t="s">
        <v>374</v>
      </c>
      <c r="K54" s="13" t="n">
        <f aca="false">IFERROR(AVERAGE(K5:K52),"")</f>
        <v>0.9375</v>
      </c>
    </row>
    <row r="55" customFormat="false" ht="15" hidden="false" customHeight="true" outlineLevel="0" collapsed="false">
      <c r="I55" s="9" t="s">
        <v>375</v>
      </c>
      <c r="K55" s="14" t="n">
        <f aca="false">IFERROR((COUNTIFS(H5:H52,"Retórica",J5:J52,"?*")/COUNTIF(J5:J52,"?*"))*(COUNTIF(J5:J52,"Retórica")/COUNTIF(J5:J52,"?*"))+(COUNTIFS(H5:H52,"Sustantiva",J5:J52,"?*")/COUNTIF(J5:J52,"?*"))*(COUNTIF(J5:J52,"Sustantiva")/COUNTIF(J5:J52,"?*")),"")</f>
        <v>0.508680555555556</v>
      </c>
    </row>
    <row r="56" customFormat="false" ht="15" hidden="false" customHeight="true" outlineLevel="0" collapsed="false">
      <c r="I56" s="9" t="s">
        <v>376</v>
      </c>
      <c r="K56" s="14" t="n">
        <f aca="false">IFERROR((K54-K55)/(1-K55),"")</f>
        <v>0.872791519434629</v>
      </c>
    </row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dataValidations count="1">
    <dataValidation allowBlank="true" errorStyle="stop" operator="between" showDropDown="false" showErrorMessage="false" showInputMessage="false" sqref="J5:J52" type="list">
      <formula1>"Retórica,Sustantiva"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3" min="3" style="1" width="48"/>
    <col collapsed="false" customWidth="true" hidden="false" outlineLevel="0" max="4" min="4" style="1" width="45"/>
    <col collapsed="false" customWidth="true" hidden="false" outlineLevel="0" max="5" min="5" style="1" width="9"/>
    <col collapsed="false" customWidth="true" hidden="false" outlineLevel="0" max="6" min="6" style="1" width="11"/>
    <col collapsed="false" customWidth="true" hidden="false" outlineLevel="0" max="14" min="7" style="1" width="9"/>
    <col collapsed="false" customWidth="true" hidden="false" outlineLevel="0" max="15" min="15" style="1" width="18"/>
    <col collapsed="false" customWidth="true" hidden="false" outlineLevel="0" max="16" min="16" style="1" width="55"/>
    <col collapsed="false" customWidth="true" hidden="false" outlineLevel="0" max="17" min="17" style="1" width="11"/>
    <col collapsed="false" customWidth="true" hidden="false" outlineLevel="0" max="18" min="18" style="1" width="30"/>
    <col collapsed="false" customWidth="true" hidden="false" outlineLevel="0" max="26" min="19" style="1" width="8.71"/>
  </cols>
  <sheetData>
    <row r="1" customFormat="false" ht="15.75" hidden="false" customHeight="true" outlineLevel="0" collapsed="false">
      <c r="A1" s="2" t="s">
        <v>377</v>
      </c>
    </row>
    <row r="2" customFormat="false" ht="15" hidden="false" customHeight="true" outlineLevel="0" collapsed="false">
      <c r="A2" s="3" t="s">
        <v>378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64</v>
      </c>
      <c r="B4" s="4" t="s">
        <v>35</v>
      </c>
      <c r="C4" s="4" t="s">
        <v>379</v>
      </c>
      <c r="D4" s="4" t="s">
        <v>144</v>
      </c>
      <c r="E4" s="4" t="s">
        <v>380</v>
      </c>
      <c r="F4" s="4" t="s">
        <v>381</v>
      </c>
      <c r="G4" s="4" t="s">
        <v>382</v>
      </c>
      <c r="H4" s="4" t="s">
        <v>42</v>
      </c>
      <c r="I4" s="4" t="s">
        <v>99</v>
      </c>
      <c r="J4" s="4" t="s">
        <v>100</v>
      </c>
      <c r="K4" s="4" t="s">
        <v>61</v>
      </c>
      <c r="L4" s="4" t="s">
        <v>101</v>
      </c>
      <c r="M4" s="4" t="s">
        <v>103</v>
      </c>
      <c r="N4" s="4" t="s">
        <v>104</v>
      </c>
      <c r="O4" s="4" t="s">
        <v>383</v>
      </c>
      <c r="P4" s="4" t="s">
        <v>92</v>
      </c>
      <c r="Q4" s="4" t="s">
        <v>90</v>
      </c>
      <c r="R4" s="4" t="s">
        <v>91</v>
      </c>
    </row>
    <row r="5" customFormat="false" ht="34.5" hidden="false" customHeight="true" outlineLevel="0" collapsed="false">
      <c r="A5" s="6" t="s">
        <v>65</v>
      </c>
      <c r="B5" s="6" t="s">
        <v>307</v>
      </c>
      <c r="C5" s="6" t="s">
        <v>384</v>
      </c>
      <c r="D5" s="6" t="s">
        <v>385</v>
      </c>
      <c r="E5" s="6" t="n">
        <v>91</v>
      </c>
      <c r="F5" s="6" t="n">
        <v>253722</v>
      </c>
      <c r="G5" s="6" t="n">
        <f aca="false">IF(OR(E5="",F5=""),"",ROUND(F5/E5,0))</f>
        <v>2788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1</v>
      </c>
      <c r="M5" s="6" t="n">
        <v>16</v>
      </c>
      <c r="N5" s="6" t="n">
        <v>0</v>
      </c>
      <c r="O5" s="6" t="s">
        <v>36</v>
      </c>
      <c r="P5" s="6"/>
      <c r="Q5" s="6" t="s">
        <v>96</v>
      </c>
      <c r="R5" s="6" t="s">
        <v>97</v>
      </c>
    </row>
    <row r="6" customFormat="false" ht="23.25" hidden="false" customHeight="true" outlineLevel="0" collapsed="false">
      <c r="A6" s="6" t="s">
        <v>65</v>
      </c>
      <c r="B6" s="6" t="s">
        <v>313</v>
      </c>
      <c r="C6" s="6" t="s">
        <v>386</v>
      </c>
      <c r="D6" s="15"/>
      <c r="E6" s="15"/>
      <c r="F6" s="15"/>
      <c r="G6" s="6" t="str">
        <f aca="false">IF(OR(E6="",F6=""),"",ROUND(F6/E6,0))</f>
        <v/>
      </c>
      <c r="H6" s="15"/>
      <c r="I6" s="15"/>
      <c r="J6" s="15"/>
      <c r="K6" s="15"/>
      <c r="L6" s="15"/>
      <c r="M6" s="15"/>
      <c r="N6" s="15"/>
      <c r="O6" s="6" t="s">
        <v>24</v>
      </c>
      <c r="P6" s="6" t="s">
        <v>387</v>
      </c>
      <c r="Q6" s="6" t="s">
        <v>388</v>
      </c>
      <c r="R6" s="6" t="s">
        <v>97</v>
      </c>
    </row>
    <row r="7" customFormat="false" ht="23.25" hidden="false" customHeight="true" outlineLevel="0" collapsed="false">
      <c r="A7" s="6" t="s">
        <v>66</v>
      </c>
      <c r="B7" s="6" t="s">
        <v>307</v>
      </c>
      <c r="C7" s="6" t="s">
        <v>389</v>
      </c>
      <c r="D7" s="6" t="s">
        <v>390</v>
      </c>
      <c r="E7" s="6" t="n">
        <v>145</v>
      </c>
      <c r="F7" s="6" t="n">
        <v>150316</v>
      </c>
      <c r="G7" s="6" t="n">
        <f aca="false">IF(OR(E7="",F7=""),"",ROUND(F7/E7,0))</f>
        <v>1037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5</v>
      </c>
      <c r="N7" s="6" t="n">
        <v>0</v>
      </c>
      <c r="O7" s="6" t="s">
        <v>36</v>
      </c>
      <c r="P7" s="6"/>
      <c r="Q7" s="6" t="s">
        <v>96</v>
      </c>
      <c r="R7" s="6" t="s">
        <v>97</v>
      </c>
    </row>
    <row r="8" customFormat="false" ht="34.5" hidden="false" customHeight="true" outlineLevel="0" collapsed="false">
      <c r="A8" s="6" t="s">
        <v>66</v>
      </c>
      <c r="B8" s="6" t="s">
        <v>313</v>
      </c>
      <c r="C8" s="6" t="s">
        <v>391</v>
      </c>
      <c r="D8" s="6" t="s">
        <v>392</v>
      </c>
      <c r="E8" s="6" t="n">
        <v>98</v>
      </c>
      <c r="F8" s="6" t="n">
        <v>183204</v>
      </c>
      <c r="G8" s="6" t="n">
        <f aca="false">IF(OR(E8="",F8=""),"",ROUND(F8/E8,0))</f>
        <v>1869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3</v>
      </c>
      <c r="N8" s="6" t="n">
        <v>1</v>
      </c>
      <c r="O8" s="6" t="s">
        <v>36</v>
      </c>
      <c r="P8" s="6"/>
      <c r="Q8" s="6" t="s">
        <v>96</v>
      </c>
      <c r="R8" s="6" t="s">
        <v>97</v>
      </c>
    </row>
    <row r="9" customFormat="false" ht="34.5" hidden="false" customHeight="true" outlineLevel="0" collapsed="false">
      <c r="A9" s="6" t="s">
        <v>67</v>
      </c>
      <c r="B9" s="6" t="s">
        <v>307</v>
      </c>
      <c r="C9" s="6" t="s">
        <v>309</v>
      </c>
      <c r="D9" s="6" t="s">
        <v>310</v>
      </c>
      <c r="E9" s="6" t="n">
        <v>62</v>
      </c>
      <c r="F9" s="6" t="n">
        <v>26034</v>
      </c>
      <c r="G9" s="6" t="n">
        <f aca="false">IF(OR(E9="",F9=""),"",ROUND(F9/E9,0))</f>
        <v>420</v>
      </c>
      <c r="H9" s="6" t="n">
        <v>0</v>
      </c>
      <c r="I9" s="6" t="n">
        <v>1</v>
      </c>
      <c r="J9" s="6" t="n">
        <v>0</v>
      </c>
      <c r="K9" s="6" t="n">
        <v>0</v>
      </c>
      <c r="L9" s="6" t="n">
        <v>3</v>
      </c>
      <c r="M9" s="6" t="n">
        <v>0</v>
      </c>
      <c r="N9" s="6" t="n">
        <v>2</v>
      </c>
      <c r="O9" s="6" t="s">
        <v>22</v>
      </c>
      <c r="P9" s="6" t="s">
        <v>393</v>
      </c>
      <c r="Q9" s="6" t="s">
        <v>96</v>
      </c>
      <c r="R9" s="6" t="s">
        <v>97</v>
      </c>
    </row>
    <row r="10" customFormat="false" ht="34.5" hidden="false" customHeight="true" outlineLevel="0" collapsed="false">
      <c r="A10" s="6" t="s">
        <v>67</v>
      </c>
      <c r="B10" s="6" t="s">
        <v>313</v>
      </c>
      <c r="C10" s="6" t="s">
        <v>394</v>
      </c>
      <c r="D10" s="6" t="s">
        <v>395</v>
      </c>
      <c r="E10" s="6" t="n">
        <v>120</v>
      </c>
      <c r="F10" s="6" t="n">
        <v>121931</v>
      </c>
      <c r="G10" s="6" t="n">
        <f aca="false">IF(OR(E10="",F10=""),"",ROUND(F10/E10,0))</f>
        <v>1016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2</v>
      </c>
      <c r="M10" s="6" t="n">
        <v>0</v>
      </c>
      <c r="N10" s="6" t="n">
        <v>1</v>
      </c>
      <c r="O10" s="6" t="s">
        <v>36</v>
      </c>
      <c r="P10" s="6" t="s">
        <v>396</v>
      </c>
      <c r="Q10" s="6" t="s">
        <v>96</v>
      </c>
      <c r="R10" s="6" t="s">
        <v>97</v>
      </c>
    </row>
    <row r="11" customFormat="false" ht="23.25" hidden="false" customHeight="true" outlineLevel="0" collapsed="false">
      <c r="A11" s="6" t="s">
        <v>68</v>
      </c>
      <c r="B11" s="6" t="s">
        <v>307</v>
      </c>
      <c r="C11" s="6" t="s">
        <v>397</v>
      </c>
      <c r="D11" s="6" t="s">
        <v>398</v>
      </c>
      <c r="E11" s="6" t="n">
        <v>99</v>
      </c>
      <c r="F11" s="6" t="n">
        <v>262736</v>
      </c>
      <c r="G11" s="6" t="n">
        <f aca="false">IF(OR(E11="",F11=""),"",ROUND(F11/E11,0))</f>
        <v>2654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11</v>
      </c>
      <c r="M11" s="6" t="n">
        <v>32</v>
      </c>
      <c r="N11" s="6" t="n">
        <v>0</v>
      </c>
      <c r="O11" s="6" t="s">
        <v>36</v>
      </c>
      <c r="P11" s="6" t="s">
        <v>399</v>
      </c>
      <c r="Q11" s="6" t="s">
        <v>96</v>
      </c>
      <c r="R11" s="6" t="s">
        <v>97</v>
      </c>
    </row>
    <row r="12" customFormat="false" ht="34.5" hidden="false" customHeight="true" outlineLevel="0" collapsed="false">
      <c r="A12" s="6" t="s">
        <v>68</v>
      </c>
      <c r="B12" s="6" t="s">
        <v>313</v>
      </c>
      <c r="C12" s="6" t="s">
        <v>315</v>
      </c>
      <c r="D12" s="6" t="s">
        <v>316</v>
      </c>
      <c r="E12" s="6" t="n">
        <v>91</v>
      </c>
      <c r="F12" s="6" t="n">
        <v>256230</v>
      </c>
      <c r="G12" s="6" t="n">
        <f aca="false">IF(OR(E12="",F12=""),"",ROUND(F12/E12,0))</f>
        <v>2816</v>
      </c>
      <c r="H12" s="6" t="n">
        <v>1</v>
      </c>
      <c r="I12" s="6" t="n">
        <v>1</v>
      </c>
      <c r="J12" s="6" t="n">
        <v>1</v>
      </c>
      <c r="K12" s="6" t="n">
        <v>0</v>
      </c>
      <c r="L12" s="6" t="n">
        <v>27</v>
      </c>
      <c r="M12" s="6" t="n">
        <v>22</v>
      </c>
      <c r="N12" s="6" t="n">
        <v>2</v>
      </c>
      <c r="O12" s="6" t="s">
        <v>22</v>
      </c>
      <c r="P12" s="6" t="s">
        <v>400</v>
      </c>
      <c r="Q12" s="6" t="s">
        <v>96</v>
      </c>
      <c r="R12" s="6" t="s">
        <v>97</v>
      </c>
    </row>
    <row r="13" customFormat="false" ht="23.25" hidden="false" customHeight="true" outlineLevel="0" collapsed="false">
      <c r="A13" s="6" t="s">
        <v>69</v>
      </c>
      <c r="B13" s="6" t="s">
        <v>307</v>
      </c>
      <c r="C13" s="6" t="s">
        <v>401</v>
      </c>
      <c r="D13" s="6" t="s">
        <v>402</v>
      </c>
      <c r="E13" s="6" t="n">
        <v>39</v>
      </c>
      <c r="F13" s="6" t="n">
        <v>20344</v>
      </c>
      <c r="G13" s="6" t="n">
        <f aca="false">IF(OR(E13="",F13=""),"",ROUND(F13/E13,0))</f>
        <v>522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0</v>
      </c>
      <c r="O13" s="6" t="s">
        <v>36</v>
      </c>
      <c r="P13" s="6" t="s">
        <v>403</v>
      </c>
      <c r="Q13" s="6" t="s">
        <v>96</v>
      </c>
      <c r="R13" s="6" t="s">
        <v>97</v>
      </c>
    </row>
    <row r="14" customFormat="false" ht="23.25" hidden="false" customHeight="true" outlineLevel="0" collapsed="false">
      <c r="A14" s="6" t="s">
        <v>69</v>
      </c>
      <c r="B14" s="6" t="s">
        <v>313</v>
      </c>
      <c r="C14" s="6" t="s">
        <v>320</v>
      </c>
      <c r="D14" s="6" t="s">
        <v>321</v>
      </c>
      <c r="E14" s="6" t="n">
        <v>168</v>
      </c>
      <c r="F14" s="6" t="n">
        <v>264030</v>
      </c>
      <c r="G14" s="6" t="n">
        <f aca="false">IF(OR(E14="",F14=""),"",ROUND(F14/E14,0))</f>
        <v>1572</v>
      </c>
      <c r="H14" s="6" t="n">
        <v>14</v>
      </c>
      <c r="I14" s="6" t="n">
        <v>5</v>
      </c>
      <c r="J14" s="6" t="n">
        <v>4</v>
      </c>
      <c r="K14" s="6" t="n">
        <v>0</v>
      </c>
      <c r="L14" s="6" t="n">
        <v>12</v>
      </c>
      <c r="M14" s="6" t="n">
        <v>4</v>
      </c>
      <c r="N14" s="6" t="n">
        <v>3</v>
      </c>
      <c r="O14" s="6" t="s">
        <v>24</v>
      </c>
      <c r="P14" s="6" t="s">
        <v>404</v>
      </c>
      <c r="Q14" s="6" t="s">
        <v>96</v>
      </c>
      <c r="R14" s="6" t="s">
        <v>97</v>
      </c>
    </row>
    <row r="15" customFormat="false" ht="34.5" hidden="false" customHeight="true" outlineLevel="0" collapsed="false">
      <c r="A15" s="6" t="s">
        <v>70</v>
      </c>
      <c r="B15" s="6" t="s">
        <v>307</v>
      </c>
      <c r="C15" s="6" t="s">
        <v>405</v>
      </c>
      <c r="D15" s="6" t="s">
        <v>406</v>
      </c>
      <c r="E15" s="6" t="n">
        <v>49</v>
      </c>
      <c r="F15" s="6" t="n">
        <v>24408</v>
      </c>
      <c r="G15" s="6" t="n">
        <f aca="false">IF(OR(E15="",F15=""),"",ROUND(F15/E15,0))</f>
        <v>498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0</v>
      </c>
      <c r="O15" s="6" t="s">
        <v>36</v>
      </c>
      <c r="P15" s="6" t="s">
        <v>407</v>
      </c>
      <c r="Q15" s="6" t="s">
        <v>96</v>
      </c>
      <c r="R15" s="6" t="s">
        <v>97</v>
      </c>
    </row>
    <row r="16" customFormat="false" ht="45.75" hidden="false" customHeight="true" outlineLevel="0" collapsed="false">
      <c r="A16" s="6" t="s">
        <v>70</v>
      </c>
      <c r="B16" s="6" t="s">
        <v>313</v>
      </c>
      <c r="C16" s="6" t="s">
        <v>331</v>
      </c>
      <c r="D16" s="6" t="s">
        <v>332</v>
      </c>
      <c r="E16" s="6" t="n">
        <v>148</v>
      </c>
      <c r="F16" s="6" t="n">
        <v>237359</v>
      </c>
      <c r="G16" s="6" t="n">
        <f aca="false">IF(OR(E16="",F16=""),"",ROUND(F16/E16,0))</f>
        <v>1604</v>
      </c>
      <c r="H16" s="6" t="n">
        <v>14</v>
      </c>
      <c r="I16" s="6" t="n">
        <v>7</v>
      </c>
      <c r="J16" s="6" t="n">
        <v>2</v>
      </c>
      <c r="K16" s="6" t="n">
        <v>1</v>
      </c>
      <c r="L16" s="6" t="n">
        <v>22</v>
      </c>
      <c r="M16" s="6" t="n">
        <v>13</v>
      </c>
      <c r="N16" s="6" t="n">
        <v>5</v>
      </c>
      <c r="O16" s="6" t="s">
        <v>24</v>
      </c>
      <c r="P16" s="6" t="s">
        <v>408</v>
      </c>
      <c r="Q16" s="6" t="s">
        <v>96</v>
      </c>
      <c r="R16" s="6" t="s">
        <v>97</v>
      </c>
    </row>
    <row r="17" customFormat="false" ht="34.5" hidden="false" customHeight="true" outlineLevel="0" collapsed="false">
      <c r="A17" s="6" t="s">
        <v>71</v>
      </c>
      <c r="B17" s="6" t="s">
        <v>307</v>
      </c>
      <c r="C17" s="6" t="s">
        <v>409</v>
      </c>
      <c r="D17" s="6" t="s">
        <v>410</v>
      </c>
      <c r="E17" s="6" t="n">
        <v>45</v>
      </c>
      <c r="F17" s="6" t="n">
        <v>127239</v>
      </c>
      <c r="G17" s="6" t="n">
        <f aca="false">IF(OR(E17="",F17=""),"",ROUND(F17/E17,0))</f>
        <v>2828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1</v>
      </c>
      <c r="M17" s="6" t="n">
        <v>9</v>
      </c>
      <c r="N17" s="6" t="n">
        <v>2</v>
      </c>
      <c r="O17" s="6" t="s">
        <v>36</v>
      </c>
      <c r="P17" s="6" t="s">
        <v>411</v>
      </c>
      <c r="Q17" s="6" t="s">
        <v>96</v>
      </c>
      <c r="R17" s="6" t="s">
        <v>97</v>
      </c>
    </row>
    <row r="18" customFormat="false" ht="23.25" hidden="false" customHeight="true" outlineLevel="0" collapsed="false">
      <c r="A18" s="6" t="s">
        <v>71</v>
      </c>
      <c r="B18" s="6" t="s">
        <v>313</v>
      </c>
      <c r="C18" s="6" t="s">
        <v>339</v>
      </c>
      <c r="D18" s="6" t="s">
        <v>340</v>
      </c>
      <c r="E18" s="6" t="n">
        <v>79</v>
      </c>
      <c r="F18" s="6" t="n">
        <v>260567</v>
      </c>
      <c r="G18" s="6" t="n">
        <f aca="false">IF(OR(E18="",F18=""),"",ROUND(F18/E18,0))</f>
        <v>3298</v>
      </c>
      <c r="H18" s="6" t="n">
        <v>12</v>
      </c>
      <c r="I18" s="6" t="n">
        <v>2</v>
      </c>
      <c r="J18" s="6" t="n">
        <v>0</v>
      </c>
      <c r="K18" s="6" t="n">
        <v>1</v>
      </c>
      <c r="L18" s="6" t="n">
        <v>8</v>
      </c>
      <c r="M18" s="6" t="n">
        <v>16</v>
      </c>
      <c r="N18" s="6" t="n">
        <v>1</v>
      </c>
      <c r="O18" s="6" t="s">
        <v>24</v>
      </c>
      <c r="P18" s="6" t="s">
        <v>412</v>
      </c>
      <c r="Q18" s="6" t="s">
        <v>96</v>
      </c>
      <c r="R18" s="6" t="s">
        <v>97</v>
      </c>
    </row>
    <row r="19" customFormat="false" ht="23.25" hidden="false" customHeight="true" outlineLevel="0" collapsed="false">
      <c r="A19" s="6" t="s">
        <v>72</v>
      </c>
      <c r="B19" s="6" t="s">
        <v>307</v>
      </c>
      <c r="C19" s="6" t="s">
        <v>413</v>
      </c>
      <c r="D19" s="6" t="s">
        <v>414</v>
      </c>
      <c r="E19" s="6" t="n">
        <v>63</v>
      </c>
      <c r="F19" s="6" t="n">
        <v>174496</v>
      </c>
      <c r="G19" s="6" t="n">
        <f aca="false">IF(OR(E19="",F19=""),"",ROUND(F19/E19,0))</f>
        <v>2770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1</v>
      </c>
      <c r="M19" s="6" t="n">
        <v>12</v>
      </c>
      <c r="N19" s="6" t="n">
        <v>0</v>
      </c>
      <c r="O19" s="6" t="s">
        <v>36</v>
      </c>
      <c r="P19" s="6"/>
      <c r="Q19" s="6" t="s">
        <v>96</v>
      </c>
      <c r="R19" s="6" t="s">
        <v>97</v>
      </c>
    </row>
    <row r="20" customFormat="false" ht="34.5" hidden="false" customHeight="true" outlineLevel="0" collapsed="false">
      <c r="A20" s="6" t="s">
        <v>72</v>
      </c>
      <c r="B20" s="6" t="s">
        <v>313</v>
      </c>
      <c r="C20" s="6" t="s">
        <v>415</v>
      </c>
      <c r="D20" s="15" t="s">
        <v>416</v>
      </c>
      <c r="E20" s="15"/>
      <c r="F20" s="15"/>
      <c r="G20" s="6" t="str">
        <f aca="false">IF(OR(E20="",F20=""),"",ROUND(F20/E20,0))</f>
        <v/>
      </c>
      <c r="H20" s="15"/>
      <c r="I20" s="15"/>
      <c r="J20" s="15"/>
      <c r="K20" s="15"/>
      <c r="L20" s="15"/>
      <c r="M20" s="15"/>
      <c r="N20" s="15"/>
      <c r="O20" s="6" t="s">
        <v>36</v>
      </c>
      <c r="P20" s="6" t="s">
        <v>417</v>
      </c>
      <c r="Q20" s="6" t="s">
        <v>388</v>
      </c>
      <c r="R20" s="6" t="s">
        <v>97</v>
      </c>
    </row>
    <row r="21" customFormat="false" ht="23.25" hidden="false" customHeight="true" outlineLevel="0" collapsed="false">
      <c r="A21" s="6" t="s">
        <v>73</v>
      </c>
      <c r="B21" s="6" t="s">
        <v>307</v>
      </c>
      <c r="C21" s="6" t="s">
        <v>418</v>
      </c>
      <c r="D21" s="6" t="s">
        <v>419</v>
      </c>
      <c r="E21" s="6" t="n">
        <v>90</v>
      </c>
      <c r="F21" s="6" t="n">
        <v>209349</v>
      </c>
      <c r="G21" s="6" t="n">
        <f aca="false">IF(OR(E21="",F21=""),"",ROUND(F21/E21,0))</f>
        <v>2326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5</v>
      </c>
      <c r="M21" s="6" t="n">
        <v>27</v>
      </c>
      <c r="N21" s="6" t="n">
        <v>0</v>
      </c>
      <c r="O21" s="6" t="s">
        <v>36</v>
      </c>
      <c r="P21" s="6" t="s">
        <v>399</v>
      </c>
      <c r="Q21" s="6" t="s">
        <v>96</v>
      </c>
      <c r="R21" s="6" t="s">
        <v>97</v>
      </c>
    </row>
    <row r="22" customFormat="false" ht="57" hidden="false" customHeight="true" outlineLevel="0" collapsed="false">
      <c r="A22" s="6" t="s">
        <v>73</v>
      </c>
      <c r="B22" s="6" t="s">
        <v>313</v>
      </c>
      <c r="C22" s="6" t="s">
        <v>347</v>
      </c>
      <c r="D22" s="6" t="s">
        <v>348</v>
      </c>
      <c r="E22" s="6" t="n">
        <v>186</v>
      </c>
      <c r="F22" s="6" t="n">
        <v>617891</v>
      </c>
      <c r="G22" s="6" t="n">
        <f aca="false">IF(OR(E22="",F22=""),"",ROUND(F22/E22,0))</f>
        <v>3322</v>
      </c>
      <c r="H22" s="6" t="n">
        <v>22</v>
      </c>
      <c r="I22" s="6" t="n">
        <v>13</v>
      </c>
      <c r="J22" s="6" t="n">
        <v>34</v>
      </c>
      <c r="K22" s="6" t="n">
        <v>0</v>
      </c>
      <c r="L22" s="6" t="n">
        <v>36</v>
      </c>
      <c r="M22" s="6" t="n">
        <v>24</v>
      </c>
      <c r="N22" s="6" t="n">
        <v>8</v>
      </c>
      <c r="O22" s="6" t="s">
        <v>24</v>
      </c>
      <c r="P22" s="6" t="s">
        <v>420</v>
      </c>
      <c r="Q22" s="6" t="s">
        <v>96</v>
      </c>
      <c r="R22" s="6" t="s">
        <v>97</v>
      </c>
    </row>
    <row r="23" customFormat="false" ht="23.25" hidden="false" customHeight="true" outlineLevel="0" collapsed="false">
      <c r="A23" s="6" t="s">
        <v>74</v>
      </c>
      <c r="B23" s="6" t="s">
        <v>307</v>
      </c>
      <c r="C23" s="6" t="s">
        <v>421</v>
      </c>
      <c r="D23" s="6" t="s">
        <v>422</v>
      </c>
      <c r="E23" s="6" t="n">
        <v>68</v>
      </c>
      <c r="F23" s="6" t="n">
        <v>64851</v>
      </c>
      <c r="G23" s="6" t="n">
        <f aca="false">IF(OR(E23="",F23=""),"",ROUND(F23/E23,0))</f>
        <v>954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1</v>
      </c>
      <c r="M23" s="6" t="n">
        <v>2</v>
      </c>
      <c r="N23" s="6" t="n">
        <v>0</v>
      </c>
      <c r="O23" s="6" t="s">
        <v>36</v>
      </c>
      <c r="P23" s="6"/>
      <c r="Q23" s="6" t="s">
        <v>96</v>
      </c>
      <c r="R23" s="6" t="s">
        <v>97</v>
      </c>
    </row>
    <row r="24" customFormat="false" ht="23.25" hidden="false" customHeight="true" outlineLevel="0" collapsed="false">
      <c r="A24" s="6" t="s">
        <v>74</v>
      </c>
      <c r="B24" s="6" t="s">
        <v>313</v>
      </c>
      <c r="C24" s="6" t="s">
        <v>423</v>
      </c>
      <c r="D24" s="6" t="s">
        <v>424</v>
      </c>
      <c r="E24" s="6" t="n">
        <v>24</v>
      </c>
      <c r="F24" s="6" t="n">
        <v>22578</v>
      </c>
      <c r="G24" s="6" t="n">
        <f aca="false">IF(OR(E24="",F24=""),"",ROUND(F24/E24,0))</f>
        <v>941</v>
      </c>
      <c r="H24" s="6" t="n">
        <v>0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0</v>
      </c>
      <c r="N24" s="6" t="n">
        <v>0</v>
      </c>
      <c r="O24" s="6" t="s">
        <v>36</v>
      </c>
      <c r="P24" s="6"/>
      <c r="Q24" s="6" t="s">
        <v>96</v>
      </c>
      <c r="R24" s="6" t="s">
        <v>97</v>
      </c>
    </row>
    <row r="25" customFormat="false" ht="57" hidden="false" customHeight="true" outlineLevel="0" collapsed="false">
      <c r="A25" s="6" t="s">
        <v>75</v>
      </c>
      <c r="B25" s="6" t="s">
        <v>307</v>
      </c>
      <c r="C25" s="6" t="s">
        <v>425</v>
      </c>
      <c r="D25" s="15" t="s">
        <v>426</v>
      </c>
      <c r="E25" s="15"/>
      <c r="F25" s="15"/>
      <c r="G25" s="6" t="str">
        <f aca="false">IF(OR(E25="",F25=""),"",ROUND(F25/E25,0))</f>
        <v/>
      </c>
      <c r="H25" s="15"/>
      <c r="I25" s="15"/>
      <c r="J25" s="15"/>
      <c r="K25" s="15"/>
      <c r="L25" s="15"/>
      <c r="M25" s="15"/>
      <c r="N25" s="15"/>
      <c r="O25" s="6" t="s">
        <v>37</v>
      </c>
      <c r="P25" s="6" t="s">
        <v>427</v>
      </c>
      <c r="Q25" s="6" t="s">
        <v>388</v>
      </c>
      <c r="R25" s="6" t="s">
        <v>97</v>
      </c>
    </row>
    <row r="26" customFormat="false" ht="23.25" hidden="false" customHeight="true" outlineLevel="0" collapsed="false">
      <c r="A26" s="6" t="s">
        <v>75</v>
      </c>
      <c r="B26" s="6" t="s">
        <v>313</v>
      </c>
      <c r="C26" s="6" t="s">
        <v>428</v>
      </c>
      <c r="D26" s="6" t="s">
        <v>429</v>
      </c>
      <c r="E26" s="6" t="n">
        <v>31</v>
      </c>
      <c r="F26" s="6" t="n">
        <v>39350</v>
      </c>
      <c r="G26" s="6" t="n">
        <f aca="false">IF(OR(E26="",F26=""),"",ROUND(F26/E26,0))</f>
        <v>1269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s">
        <v>36</v>
      </c>
      <c r="P26" s="6" t="s">
        <v>430</v>
      </c>
      <c r="Q26" s="6" t="s">
        <v>96</v>
      </c>
      <c r="R26" s="6" t="s">
        <v>97</v>
      </c>
    </row>
    <row r="27" customFormat="false" ht="23.25" hidden="false" customHeight="true" outlineLevel="0" collapsed="false">
      <c r="A27" s="6" t="s">
        <v>75</v>
      </c>
      <c r="B27" s="6" t="s">
        <v>313</v>
      </c>
      <c r="C27" s="6" t="s">
        <v>431</v>
      </c>
      <c r="D27" s="6" t="s">
        <v>432</v>
      </c>
      <c r="E27" s="6" t="n">
        <v>13</v>
      </c>
      <c r="F27" s="6" t="n">
        <v>14438</v>
      </c>
      <c r="G27" s="6" t="n">
        <f aca="false">IF(OR(E27="",F27=""),"",ROUND(F27/E27,0))</f>
        <v>1111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4</v>
      </c>
      <c r="M27" s="6" t="n">
        <v>4</v>
      </c>
      <c r="N27" s="6" t="n">
        <v>0</v>
      </c>
      <c r="O27" s="6" t="s">
        <v>36</v>
      </c>
      <c r="P27" s="6" t="s">
        <v>433</v>
      </c>
      <c r="Q27" s="6" t="s">
        <v>96</v>
      </c>
      <c r="R27" s="6" t="s">
        <v>97</v>
      </c>
    </row>
    <row r="28" customFormat="false" ht="45.75" hidden="false" customHeight="true" outlineLevel="0" collapsed="false">
      <c r="A28" s="6" t="s">
        <v>76</v>
      </c>
      <c r="B28" s="6" t="s">
        <v>307</v>
      </c>
      <c r="C28" s="6" t="s">
        <v>434</v>
      </c>
      <c r="D28" s="15" t="s">
        <v>435</v>
      </c>
      <c r="E28" s="15" t="n">
        <v>70</v>
      </c>
      <c r="F28" s="15" t="n">
        <v>95923</v>
      </c>
      <c r="G28" s="6" t="n">
        <f aca="false">IF(OR(E28="",F28=""),"",ROUND(F28/E28,0))</f>
        <v>1370</v>
      </c>
      <c r="H28" s="15" t="n">
        <v>0</v>
      </c>
      <c r="I28" s="15" t="n">
        <v>0</v>
      </c>
      <c r="J28" s="15" t="n">
        <v>0</v>
      </c>
      <c r="K28" s="15" t="n">
        <v>0</v>
      </c>
      <c r="L28" s="15" t="n">
        <v>4</v>
      </c>
      <c r="M28" s="15" t="n">
        <v>3</v>
      </c>
      <c r="N28" s="15" t="n">
        <v>0</v>
      </c>
      <c r="O28" s="6" t="s">
        <v>36</v>
      </c>
      <c r="P28" s="6" t="s">
        <v>436</v>
      </c>
      <c r="Q28" s="6" t="s">
        <v>437</v>
      </c>
      <c r="R28" s="6" t="s">
        <v>97</v>
      </c>
    </row>
    <row r="29" customFormat="false" ht="23.25" hidden="false" customHeight="true" outlineLevel="0" collapsed="false">
      <c r="A29" s="6" t="s">
        <v>76</v>
      </c>
      <c r="B29" s="6" t="s">
        <v>313</v>
      </c>
      <c r="C29" s="6" t="s">
        <v>358</v>
      </c>
      <c r="D29" s="6" t="s">
        <v>359</v>
      </c>
      <c r="E29" s="6" t="n">
        <v>218</v>
      </c>
      <c r="F29" s="6" t="n">
        <v>358550</v>
      </c>
      <c r="G29" s="6" t="n">
        <f aca="false">IF(OR(E29="",F29=""),"",ROUND(F29/E29,0))</f>
        <v>1645</v>
      </c>
      <c r="H29" s="6" t="n">
        <v>3</v>
      </c>
      <c r="I29" s="6" t="n">
        <v>1</v>
      </c>
      <c r="J29" s="6" t="n">
        <v>0</v>
      </c>
      <c r="K29" s="6" t="n">
        <v>0</v>
      </c>
      <c r="L29" s="6" t="n">
        <v>11</v>
      </c>
      <c r="M29" s="6" t="n">
        <v>12</v>
      </c>
      <c r="N29" s="6" t="n">
        <v>1</v>
      </c>
      <c r="O29" s="6" t="s">
        <v>24</v>
      </c>
      <c r="P29" s="6" t="s">
        <v>438</v>
      </c>
      <c r="Q29" s="6" t="s">
        <v>96</v>
      </c>
      <c r="R29" s="6" t="s">
        <v>97</v>
      </c>
    </row>
    <row r="30" customFormat="false" ht="34.5" hidden="false" customHeight="true" outlineLevel="0" collapsed="false">
      <c r="A30" s="6" t="s">
        <v>77</v>
      </c>
      <c r="B30" s="6" t="s">
        <v>307</v>
      </c>
      <c r="C30" s="6" t="s">
        <v>439</v>
      </c>
      <c r="D30" s="6" t="s">
        <v>440</v>
      </c>
      <c r="E30" s="6" t="n">
        <v>31</v>
      </c>
      <c r="F30" s="6" t="n">
        <v>70435</v>
      </c>
      <c r="G30" s="6" t="n">
        <f aca="false">IF(OR(E30="",F30=""),"",ROUND(F30/E30,0))</f>
        <v>2272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1</v>
      </c>
      <c r="M30" s="6" t="n">
        <v>2</v>
      </c>
      <c r="N30" s="6" t="n">
        <v>1</v>
      </c>
      <c r="O30" s="6" t="s">
        <v>36</v>
      </c>
      <c r="P30" s="6"/>
      <c r="Q30" s="6" t="s">
        <v>96</v>
      </c>
      <c r="R30" s="6" t="s">
        <v>97</v>
      </c>
    </row>
    <row r="31" customFormat="false" ht="23.25" hidden="false" customHeight="true" outlineLevel="0" collapsed="false">
      <c r="A31" s="6" t="s">
        <v>77</v>
      </c>
      <c r="B31" s="6" t="s">
        <v>313</v>
      </c>
      <c r="C31" s="6" t="s">
        <v>441</v>
      </c>
      <c r="D31" s="15" t="s">
        <v>131</v>
      </c>
      <c r="E31" s="15"/>
      <c r="F31" s="15"/>
      <c r="G31" s="6" t="str">
        <f aca="false">IF(OR(E31="",F31=""),"",ROUND(F31/E31,0))</f>
        <v/>
      </c>
      <c r="H31" s="15"/>
      <c r="I31" s="15"/>
      <c r="J31" s="15"/>
      <c r="K31" s="15"/>
      <c r="L31" s="15"/>
      <c r="M31" s="15"/>
      <c r="N31" s="15"/>
      <c r="O31" s="6" t="s">
        <v>22</v>
      </c>
      <c r="P31" s="6" t="s">
        <v>442</v>
      </c>
      <c r="Q31" s="6" t="s">
        <v>388</v>
      </c>
      <c r="R31" s="6" t="s">
        <v>97</v>
      </c>
    </row>
    <row r="32" customFormat="false" ht="23.25" hidden="false" customHeight="true" outlineLevel="0" collapsed="false">
      <c r="A32" s="6" t="s">
        <v>78</v>
      </c>
      <c r="B32" s="6" t="s">
        <v>307</v>
      </c>
      <c r="C32" s="6" t="s">
        <v>443</v>
      </c>
      <c r="D32" s="6"/>
      <c r="E32" s="6"/>
      <c r="F32" s="6"/>
      <c r="G32" s="6" t="str">
        <f aca="false">IF(OR(E32="",F32=""),"",ROUND(F32/E32,0))</f>
        <v/>
      </c>
      <c r="H32" s="6"/>
      <c r="I32" s="6"/>
      <c r="J32" s="6"/>
      <c r="K32" s="6"/>
      <c r="L32" s="6"/>
      <c r="M32" s="6"/>
      <c r="N32" s="6"/>
      <c r="O32" s="6" t="s">
        <v>37</v>
      </c>
      <c r="P32" s="6" t="s">
        <v>444</v>
      </c>
      <c r="Q32" s="6" t="s">
        <v>96</v>
      </c>
      <c r="R32" s="6" t="s">
        <v>97</v>
      </c>
    </row>
    <row r="33" customFormat="false" ht="23.25" hidden="false" customHeight="true" outlineLevel="0" collapsed="false">
      <c r="A33" s="6" t="s">
        <v>78</v>
      </c>
      <c r="B33" s="6" t="s">
        <v>313</v>
      </c>
      <c r="C33" s="6" t="s">
        <v>366</v>
      </c>
      <c r="D33" s="6" t="s">
        <v>367</v>
      </c>
      <c r="E33" s="6" t="n">
        <v>186</v>
      </c>
      <c r="F33" s="6" t="n">
        <v>247802</v>
      </c>
      <c r="G33" s="6" t="n">
        <f aca="false">IF(OR(E33="",F33=""),"",ROUND(F33/E33,0))</f>
        <v>1332</v>
      </c>
      <c r="H33" s="6" t="n">
        <v>1</v>
      </c>
      <c r="I33" s="6" t="n">
        <v>1</v>
      </c>
      <c r="J33" s="6" t="n">
        <v>0</v>
      </c>
      <c r="K33" s="6" t="n">
        <v>0</v>
      </c>
      <c r="L33" s="6" t="n">
        <v>1</v>
      </c>
      <c r="M33" s="6" t="n">
        <v>0</v>
      </c>
      <c r="N33" s="6" t="n">
        <v>0</v>
      </c>
      <c r="O33" s="6" t="s">
        <v>22</v>
      </c>
      <c r="P33" s="6"/>
      <c r="Q33" s="6" t="s">
        <v>96</v>
      </c>
      <c r="R33" s="6" t="s">
        <v>97</v>
      </c>
    </row>
    <row r="34" customFormat="false" ht="23.25" hidden="false" customHeight="true" outlineLevel="0" collapsed="false">
      <c r="A34" s="6" t="s">
        <v>79</v>
      </c>
      <c r="B34" s="6" t="s">
        <v>307</v>
      </c>
      <c r="C34" s="6" t="s">
        <v>445</v>
      </c>
      <c r="D34" s="6" t="s">
        <v>446</v>
      </c>
      <c r="E34" s="6" t="n">
        <v>66</v>
      </c>
      <c r="F34" s="6" t="n">
        <v>8724</v>
      </c>
      <c r="G34" s="6" t="n">
        <f aca="false">IF(OR(E34="",F34=""),"",ROUND(F34/E34,0))</f>
        <v>132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0</v>
      </c>
      <c r="N34" s="6" t="n">
        <v>0</v>
      </c>
      <c r="O34" s="6" t="s">
        <v>36</v>
      </c>
      <c r="P34" s="6" t="s">
        <v>447</v>
      </c>
      <c r="Q34" s="6" t="s">
        <v>96</v>
      </c>
      <c r="R34" s="6" t="s">
        <v>97</v>
      </c>
    </row>
    <row r="35" customFormat="false" ht="23.25" hidden="false" customHeight="true" outlineLevel="0" collapsed="false">
      <c r="A35" s="6" t="s">
        <v>79</v>
      </c>
      <c r="B35" s="6" t="s">
        <v>313</v>
      </c>
      <c r="C35" s="6" t="s">
        <v>448</v>
      </c>
      <c r="D35" s="15" t="s">
        <v>449</v>
      </c>
      <c r="E35" s="15"/>
      <c r="F35" s="15"/>
      <c r="G35" s="6" t="str">
        <f aca="false">IF(OR(E35="",F35=""),"",ROUND(F35/E35,0))</f>
        <v/>
      </c>
      <c r="H35" s="15"/>
      <c r="I35" s="15"/>
      <c r="J35" s="15"/>
      <c r="K35" s="15"/>
      <c r="L35" s="15"/>
      <c r="M35" s="15"/>
      <c r="N35" s="15"/>
      <c r="O35" s="6" t="s">
        <v>36</v>
      </c>
      <c r="P35" s="6" t="s">
        <v>450</v>
      </c>
      <c r="Q35" s="6" t="s">
        <v>388</v>
      </c>
      <c r="R35" s="6" t="s">
        <v>97</v>
      </c>
    </row>
    <row r="36" customFormat="false" ht="34.5" hidden="false" customHeight="true" outlineLevel="0" collapsed="false">
      <c r="A36" s="6" t="s">
        <v>80</v>
      </c>
      <c r="B36" s="6" t="s">
        <v>307</v>
      </c>
      <c r="C36" s="6" t="s">
        <v>451</v>
      </c>
      <c r="D36" s="6" t="s">
        <v>452</v>
      </c>
      <c r="E36" s="6" t="n">
        <v>148</v>
      </c>
      <c r="F36" s="6" t="n">
        <v>31775</v>
      </c>
      <c r="G36" s="6" t="n">
        <f aca="false">IF(OR(E36="",F36=""),"",ROUND(F36/E36,0))</f>
        <v>215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1</v>
      </c>
      <c r="M36" s="6" t="n">
        <v>1</v>
      </c>
      <c r="N36" s="6" t="n">
        <v>0</v>
      </c>
      <c r="O36" s="6" t="s">
        <v>36</v>
      </c>
      <c r="P36" s="6" t="s">
        <v>453</v>
      </c>
      <c r="Q36" s="6" t="s">
        <v>96</v>
      </c>
      <c r="R36" s="6" t="s">
        <v>97</v>
      </c>
    </row>
    <row r="37" customFormat="false" ht="57" hidden="false" customHeight="true" outlineLevel="0" collapsed="false">
      <c r="A37" s="6" t="s">
        <v>80</v>
      </c>
      <c r="B37" s="6" t="s">
        <v>313</v>
      </c>
      <c r="C37" s="6" t="s">
        <v>371</v>
      </c>
      <c r="D37" s="6" t="s">
        <v>372</v>
      </c>
      <c r="E37" s="6" t="n">
        <v>90</v>
      </c>
      <c r="F37" s="6" t="n">
        <v>353425</v>
      </c>
      <c r="G37" s="6" t="n">
        <f aca="false">IF(OR(E37="",F37=""),"",ROUND(F37/E37,0))</f>
        <v>3927</v>
      </c>
      <c r="H37" s="6" t="n">
        <v>2</v>
      </c>
      <c r="I37" s="6" t="n">
        <v>1</v>
      </c>
      <c r="J37" s="6" t="n">
        <v>0</v>
      </c>
      <c r="K37" s="6" t="n">
        <v>0</v>
      </c>
      <c r="L37" s="6" t="n">
        <v>5</v>
      </c>
      <c r="M37" s="6" t="n">
        <v>9</v>
      </c>
      <c r="N37" s="6" t="n">
        <v>4</v>
      </c>
      <c r="O37" s="6" t="s">
        <v>24</v>
      </c>
      <c r="P37" s="6" t="s">
        <v>454</v>
      </c>
      <c r="Q37" s="6" t="s">
        <v>96</v>
      </c>
      <c r="R37" s="6" t="s">
        <v>97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14"/>
    <col collapsed="false" customWidth="true" hidden="false" outlineLevel="0" max="4" min="4" style="1" width="11"/>
    <col collapsed="false" customWidth="true" hidden="false" outlineLevel="0" max="6" min="5" style="1" width="26"/>
    <col collapsed="false" customWidth="true" hidden="false" outlineLevel="0" max="7" min="7" style="1" width="14"/>
    <col collapsed="false" customWidth="true" hidden="false" outlineLevel="0" max="26" min="8" style="1" width="8.71"/>
  </cols>
  <sheetData>
    <row r="1" customFormat="false" ht="15.75" hidden="false" customHeight="true" outlineLevel="0" collapsed="false">
      <c r="A1" s="2" t="s">
        <v>455</v>
      </c>
    </row>
    <row r="2" customFormat="false" ht="15" hidden="false" customHeight="true" outlineLevel="0" collapsed="false">
      <c r="A2" s="3" t="s">
        <v>456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64</v>
      </c>
      <c r="B4" s="4" t="s">
        <v>457</v>
      </c>
      <c r="C4" s="4" t="s">
        <v>458</v>
      </c>
      <c r="D4" s="4" t="s">
        <v>459</v>
      </c>
      <c r="E4" s="4" t="s">
        <v>307</v>
      </c>
      <c r="F4" s="4" t="s">
        <v>313</v>
      </c>
      <c r="G4" s="4" t="s">
        <v>460</v>
      </c>
    </row>
    <row r="5" customFormat="false" ht="15" hidden="false" customHeight="true" outlineLevel="0" collapsed="false">
      <c r="A5" s="6" t="s">
        <v>65</v>
      </c>
      <c r="B5" s="16" t="n">
        <f aca="false">COUNTIFS(Menciones!$B$5:$B$52,A5,Menciones!$C$5:$C$52,"Sitio web",Menciones!$H$5:$H$52,"Retórica")</f>
        <v>0</v>
      </c>
      <c r="C5" s="16" t="n">
        <f aca="false">COUNTIFS(Menciones!$B$5:$B$52,A5,Menciones!$C$5:$C$52,"Sitio web",Menciones!$H$5:$H$52,"Sustantiva")</f>
        <v>0</v>
      </c>
      <c r="D5" s="16" t="n">
        <f aca="false">B5+C5</f>
        <v>0</v>
      </c>
      <c r="E5" s="16" t="s">
        <v>36</v>
      </c>
      <c r="F5" s="16" t="s">
        <v>24</v>
      </c>
      <c r="G5" s="16" t="str">
        <f aca="false">IF(OR(C5&gt;0,E5="Sustantiva",F5="Sustantiva"),"Sí","No")</f>
        <v>Sí</v>
      </c>
    </row>
    <row r="6" customFormat="false" ht="15" hidden="false" customHeight="true" outlineLevel="0" collapsed="false">
      <c r="A6" s="6" t="s">
        <v>66</v>
      </c>
      <c r="B6" s="16" t="n">
        <f aca="false">COUNTIFS(Menciones!$B$5:$B$52,A6,Menciones!$C$5:$C$52,"Sitio web",Menciones!$H$5:$H$52,"Retórica")</f>
        <v>1</v>
      </c>
      <c r="C6" s="16" t="n">
        <f aca="false">COUNTIFS(Menciones!$B$5:$B$52,A6,Menciones!$C$5:$C$52,"Sitio web",Menciones!$H$5:$H$52,"Sustantiva")</f>
        <v>0</v>
      </c>
      <c r="D6" s="16" t="n">
        <f aca="false">B6+C6</f>
        <v>1</v>
      </c>
      <c r="E6" s="16" t="s">
        <v>36</v>
      </c>
      <c r="F6" s="16" t="s">
        <v>36</v>
      </c>
      <c r="G6" s="16" t="str">
        <f aca="false">IF(OR(C6&gt;0,E6="Sustantiva",F6="Sustantiva"),"Sí","No")</f>
        <v>No</v>
      </c>
    </row>
    <row r="7" customFormat="false" ht="15" hidden="false" customHeight="true" outlineLevel="0" collapsed="false">
      <c r="A7" s="6" t="s">
        <v>67</v>
      </c>
      <c r="B7" s="16" t="n">
        <f aca="false">COUNTIFS(Menciones!$B$5:$B$52,A7,Menciones!$C$5:$C$52,"Sitio web",Menciones!$H$5:$H$52,"Retórica")</f>
        <v>1</v>
      </c>
      <c r="C7" s="16" t="n">
        <f aca="false">COUNTIFS(Menciones!$B$5:$B$52,A7,Menciones!$C$5:$C$52,"Sitio web",Menciones!$H$5:$H$52,"Sustantiva")</f>
        <v>0</v>
      </c>
      <c r="D7" s="16" t="n">
        <f aca="false">B7+C7</f>
        <v>1</v>
      </c>
      <c r="E7" s="16" t="s">
        <v>22</v>
      </c>
      <c r="F7" s="16" t="s">
        <v>36</v>
      </c>
      <c r="G7" s="16" t="str">
        <f aca="false">IF(OR(C7&gt;0,E7="Sustantiva",F7="Sustantiva"),"Sí","No")</f>
        <v>No</v>
      </c>
    </row>
    <row r="8" customFormat="false" ht="15" hidden="false" customHeight="true" outlineLevel="0" collapsed="false">
      <c r="A8" s="6" t="s">
        <v>68</v>
      </c>
      <c r="B8" s="16" t="n">
        <f aca="false">COUNTIFS(Menciones!$B$5:$B$52,A8,Menciones!$C$5:$C$52,"Sitio web",Menciones!$H$5:$H$52,"Retórica")</f>
        <v>1</v>
      </c>
      <c r="C8" s="16" t="n">
        <f aca="false">COUNTIFS(Menciones!$B$5:$B$52,A8,Menciones!$C$5:$C$52,"Sitio web",Menciones!$H$5:$H$52,"Sustantiva")</f>
        <v>0</v>
      </c>
      <c r="D8" s="16" t="n">
        <f aca="false">B8+C8</f>
        <v>1</v>
      </c>
      <c r="E8" s="16" t="s">
        <v>36</v>
      </c>
      <c r="F8" s="16" t="s">
        <v>22</v>
      </c>
      <c r="G8" s="16" t="str">
        <f aca="false">IF(OR(C8&gt;0,E8="Sustantiva",F8="Sustantiva"),"Sí","No")</f>
        <v>No</v>
      </c>
    </row>
    <row r="9" customFormat="false" ht="15" hidden="false" customHeight="true" outlineLevel="0" collapsed="false">
      <c r="A9" s="6" t="s">
        <v>69</v>
      </c>
      <c r="B9" s="16" t="n">
        <f aca="false">COUNTIFS(Menciones!$B$5:$B$52,A9,Menciones!$C$5:$C$52,"Sitio web",Menciones!$H$5:$H$52,"Retórica")</f>
        <v>4</v>
      </c>
      <c r="C9" s="16" t="n">
        <f aca="false">COUNTIFS(Menciones!$B$5:$B$52,A9,Menciones!$C$5:$C$52,"Sitio web",Menciones!$H$5:$H$52,"Sustantiva")</f>
        <v>0</v>
      </c>
      <c r="D9" s="16" t="n">
        <f aca="false">B9+C9</f>
        <v>4</v>
      </c>
      <c r="E9" s="16" t="s">
        <v>36</v>
      </c>
      <c r="F9" s="16" t="s">
        <v>24</v>
      </c>
      <c r="G9" s="16" t="str">
        <f aca="false">IF(OR(C9&gt;0,E9="Sustantiva",F9="Sustantiva"),"Sí","No")</f>
        <v>Sí</v>
      </c>
    </row>
    <row r="10" customFormat="false" ht="15" hidden="false" customHeight="true" outlineLevel="0" collapsed="false">
      <c r="A10" s="6" t="s">
        <v>70</v>
      </c>
      <c r="B10" s="16" t="n">
        <f aca="false">COUNTIFS(Menciones!$B$5:$B$52,A10,Menciones!$C$5:$C$52,"Sitio web",Menciones!$H$5:$H$52,"Retórica")</f>
        <v>7</v>
      </c>
      <c r="C10" s="16" t="n">
        <f aca="false">COUNTIFS(Menciones!$B$5:$B$52,A10,Menciones!$C$5:$C$52,"Sitio web",Menciones!$H$5:$H$52,"Sustantiva")</f>
        <v>0</v>
      </c>
      <c r="D10" s="16" t="n">
        <f aca="false">B10+C10</f>
        <v>7</v>
      </c>
      <c r="E10" s="16" t="s">
        <v>36</v>
      </c>
      <c r="F10" s="16" t="s">
        <v>24</v>
      </c>
      <c r="G10" s="16" t="str">
        <f aca="false">IF(OR(C10&gt;0,E10="Sustantiva",F10="Sustantiva"),"Sí","No")</f>
        <v>Sí</v>
      </c>
    </row>
    <row r="11" customFormat="false" ht="15" hidden="false" customHeight="true" outlineLevel="0" collapsed="false">
      <c r="A11" s="6" t="s">
        <v>71</v>
      </c>
      <c r="B11" s="16" t="n">
        <f aca="false">COUNTIFS(Menciones!$B$5:$B$52,A11,Menciones!$C$5:$C$52,"Sitio web",Menciones!$H$5:$H$52,"Retórica")</f>
        <v>2</v>
      </c>
      <c r="C11" s="16" t="n">
        <f aca="false">COUNTIFS(Menciones!$B$5:$B$52,A11,Menciones!$C$5:$C$52,"Sitio web",Menciones!$H$5:$H$52,"Sustantiva")</f>
        <v>0</v>
      </c>
      <c r="D11" s="16" t="n">
        <f aca="false">B11+C11</f>
        <v>2</v>
      </c>
      <c r="E11" s="16" t="s">
        <v>36</v>
      </c>
      <c r="F11" s="16" t="s">
        <v>24</v>
      </c>
      <c r="G11" s="16" t="str">
        <f aca="false">IF(OR(C11&gt;0,E11="Sustantiva",F11="Sustantiva"),"Sí","No")</f>
        <v>Sí</v>
      </c>
    </row>
    <row r="12" customFormat="false" ht="15" hidden="false" customHeight="true" outlineLevel="0" collapsed="false">
      <c r="A12" s="6" t="s">
        <v>72</v>
      </c>
      <c r="B12" s="16" t="n">
        <f aca="false">COUNTIFS(Menciones!$B$5:$B$52,A12,Menciones!$C$5:$C$52,"Sitio web",Menciones!$H$5:$H$52,"Retórica")</f>
        <v>0</v>
      </c>
      <c r="C12" s="16" t="n">
        <f aca="false">COUNTIFS(Menciones!$B$5:$B$52,A12,Menciones!$C$5:$C$52,"Sitio web",Menciones!$H$5:$H$52,"Sustantiva")</f>
        <v>0</v>
      </c>
      <c r="D12" s="16" t="n">
        <f aca="false">B12+C12</f>
        <v>0</v>
      </c>
      <c r="E12" s="16" t="s">
        <v>36</v>
      </c>
      <c r="F12" s="16" t="s">
        <v>36</v>
      </c>
      <c r="G12" s="16" t="str">
        <f aca="false">IF(OR(C12&gt;0,E12="Sustantiva",F12="Sustantiva"),"Sí","No")</f>
        <v>No</v>
      </c>
    </row>
    <row r="13" customFormat="false" ht="15" hidden="false" customHeight="true" outlineLevel="0" collapsed="false">
      <c r="A13" s="6" t="s">
        <v>73</v>
      </c>
      <c r="B13" s="16" t="n">
        <f aca="false">COUNTIFS(Menciones!$B$5:$B$52,A13,Menciones!$C$5:$C$52,"Sitio web",Menciones!$H$5:$H$52,"Retórica")</f>
        <v>2</v>
      </c>
      <c r="C13" s="16" t="n">
        <f aca="false">COUNTIFS(Menciones!$B$5:$B$52,A13,Menciones!$C$5:$C$52,"Sitio web",Menciones!$H$5:$H$52,"Sustantiva")</f>
        <v>0</v>
      </c>
      <c r="D13" s="16" t="n">
        <f aca="false">B13+C13</f>
        <v>2</v>
      </c>
      <c r="E13" s="16" t="s">
        <v>36</v>
      </c>
      <c r="F13" s="16" t="s">
        <v>24</v>
      </c>
      <c r="G13" s="16" t="str">
        <f aca="false">IF(OR(C13&gt;0,E13="Sustantiva",F13="Sustantiva"),"Sí","No")</f>
        <v>Sí</v>
      </c>
    </row>
    <row r="14" customFormat="false" ht="15" hidden="false" customHeight="true" outlineLevel="0" collapsed="false">
      <c r="A14" s="6" t="s">
        <v>74</v>
      </c>
      <c r="B14" s="16" t="n">
        <f aca="false">COUNTIFS(Menciones!$B$5:$B$52,A14,Menciones!$C$5:$C$52,"Sitio web",Menciones!$H$5:$H$52,"Retórica")</f>
        <v>0</v>
      </c>
      <c r="C14" s="16" t="n">
        <f aca="false">COUNTIFS(Menciones!$B$5:$B$52,A14,Menciones!$C$5:$C$52,"Sitio web",Menciones!$H$5:$H$52,"Sustantiva")</f>
        <v>6</v>
      </c>
      <c r="D14" s="16" t="n">
        <f aca="false">B14+C14</f>
        <v>6</v>
      </c>
      <c r="E14" s="16" t="s">
        <v>36</v>
      </c>
      <c r="F14" s="16" t="s">
        <v>36</v>
      </c>
      <c r="G14" s="16" t="str">
        <f aca="false">IF(OR(C14&gt;0,E14="Sustantiva",F14="Sustantiva"),"Sí","No")</f>
        <v>Sí</v>
      </c>
    </row>
    <row r="15" customFormat="false" ht="15" hidden="false" customHeight="true" outlineLevel="0" collapsed="false">
      <c r="A15" s="6" t="s">
        <v>75</v>
      </c>
      <c r="B15" s="16" t="n">
        <f aca="false">COUNTIFS(Menciones!$B$5:$B$52,A15,Menciones!$C$5:$C$52,"Sitio web",Menciones!$H$5:$H$52,"Retórica")</f>
        <v>2</v>
      </c>
      <c r="C15" s="16" t="n">
        <f aca="false">COUNTIFS(Menciones!$B$5:$B$52,A15,Menciones!$C$5:$C$52,"Sitio web",Menciones!$H$5:$H$52,"Sustantiva")</f>
        <v>0</v>
      </c>
      <c r="D15" s="16" t="n">
        <f aca="false">B15+C15</f>
        <v>2</v>
      </c>
      <c r="E15" s="16" t="s">
        <v>37</v>
      </c>
      <c r="F15" s="16" t="s">
        <v>36</v>
      </c>
      <c r="G15" s="16" t="str">
        <f aca="false">IF(OR(C15&gt;0,E15="Sustantiva",F15="Sustantiva"),"Sí","No")</f>
        <v>No</v>
      </c>
    </row>
    <row r="16" customFormat="false" ht="15" hidden="false" customHeight="true" outlineLevel="0" collapsed="false">
      <c r="A16" s="6" t="s">
        <v>76</v>
      </c>
      <c r="B16" s="16" t="n">
        <f aca="false">COUNTIFS(Menciones!$B$5:$B$52,A16,Menciones!$C$5:$C$52,"Sitio web",Menciones!$H$5:$H$52,"Retórica")</f>
        <v>1</v>
      </c>
      <c r="C16" s="16" t="n">
        <f aca="false">COUNTIFS(Menciones!$B$5:$B$52,A16,Menciones!$C$5:$C$52,"Sitio web",Menciones!$H$5:$H$52,"Sustantiva")</f>
        <v>2</v>
      </c>
      <c r="D16" s="16" t="n">
        <f aca="false">B16+C16</f>
        <v>3</v>
      </c>
      <c r="E16" s="16" t="s">
        <v>36</v>
      </c>
      <c r="F16" s="16" t="s">
        <v>24</v>
      </c>
      <c r="G16" s="16" t="str">
        <f aca="false">IF(OR(C16&gt;0,E16="Sustantiva",F16="Sustantiva"),"Sí","No")</f>
        <v>Sí</v>
      </c>
    </row>
    <row r="17" customFormat="false" ht="15" hidden="false" customHeight="true" outlineLevel="0" collapsed="false">
      <c r="A17" s="6" t="s">
        <v>77</v>
      </c>
      <c r="B17" s="16" t="n">
        <f aca="false">COUNTIFS(Menciones!$B$5:$B$52,A17,Menciones!$C$5:$C$52,"Sitio web",Menciones!$H$5:$H$52,"Retórica")</f>
        <v>1</v>
      </c>
      <c r="C17" s="16" t="n">
        <f aca="false">COUNTIFS(Menciones!$B$5:$B$52,A17,Menciones!$C$5:$C$52,"Sitio web",Menciones!$H$5:$H$52,"Sustantiva")</f>
        <v>0</v>
      </c>
      <c r="D17" s="16" t="n">
        <f aca="false">B17+C17</f>
        <v>1</v>
      </c>
      <c r="E17" s="16" t="s">
        <v>36</v>
      </c>
      <c r="F17" s="16" t="s">
        <v>22</v>
      </c>
      <c r="G17" s="16" t="str">
        <f aca="false">IF(OR(C17&gt;0,E17="Sustantiva",F17="Sustantiva"),"Sí","No")</f>
        <v>No</v>
      </c>
    </row>
    <row r="18" customFormat="false" ht="15" hidden="false" customHeight="true" outlineLevel="0" collapsed="false">
      <c r="A18" s="6" t="s">
        <v>78</v>
      </c>
      <c r="B18" s="16" t="n">
        <f aca="false">COUNTIFS(Menciones!$B$5:$B$52,A18,Menciones!$C$5:$C$52,"Sitio web",Menciones!$H$5:$H$52,"Retórica")</f>
        <v>0</v>
      </c>
      <c r="C18" s="16" t="n">
        <f aca="false">COUNTIFS(Menciones!$B$5:$B$52,A18,Menciones!$C$5:$C$52,"Sitio web",Menciones!$H$5:$H$52,"Sustantiva")</f>
        <v>0</v>
      </c>
      <c r="D18" s="16" t="n">
        <f aca="false">B18+C18</f>
        <v>0</v>
      </c>
      <c r="E18" s="16" t="s">
        <v>37</v>
      </c>
      <c r="F18" s="16" t="s">
        <v>22</v>
      </c>
      <c r="G18" s="16" t="str">
        <f aca="false">IF(OR(C18&gt;0,E18="Sustantiva",F18="Sustantiva"),"Sí","No")</f>
        <v>No</v>
      </c>
    </row>
    <row r="19" customFormat="false" ht="15" hidden="false" customHeight="true" outlineLevel="0" collapsed="false">
      <c r="A19" s="6" t="s">
        <v>79</v>
      </c>
      <c r="B19" s="16" t="n">
        <f aca="false">COUNTIFS(Menciones!$B$5:$B$52,A19,Menciones!$C$5:$C$52,"Sitio web",Menciones!$H$5:$H$52,"Retórica")</f>
        <v>1</v>
      </c>
      <c r="C19" s="16" t="n">
        <f aca="false">COUNTIFS(Menciones!$B$5:$B$52,A19,Menciones!$C$5:$C$52,"Sitio web",Menciones!$H$5:$H$52,"Sustantiva")</f>
        <v>0</v>
      </c>
      <c r="D19" s="16" t="n">
        <f aca="false">B19+C19</f>
        <v>1</v>
      </c>
      <c r="E19" s="16" t="s">
        <v>36</v>
      </c>
      <c r="F19" s="16" t="s">
        <v>36</v>
      </c>
      <c r="G19" s="16" t="str">
        <f aca="false">IF(OR(C19&gt;0,E19="Sustantiva",F19="Sustantiva"),"Sí","No")</f>
        <v>No</v>
      </c>
    </row>
    <row r="20" customFormat="false" ht="15" hidden="false" customHeight="true" outlineLevel="0" collapsed="false">
      <c r="A20" s="6" t="s">
        <v>80</v>
      </c>
      <c r="B20" s="16" t="n">
        <f aca="false">COUNTIFS(Menciones!$B$5:$B$52,A20,Menciones!$C$5:$C$52,"Sitio web",Menciones!$H$5:$H$52,"Retórica")</f>
        <v>1</v>
      </c>
      <c r="C20" s="16" t="n">
        <f aca="false">COUNTIFS(Menciones!$B$5:$B$52,A20,Menciones!$C$5:$C$52,"Sitio web",Menciones!$H$5:$H$52,"Sustantiva")</f>
        <v>0</v>
      </c>
      <c r="D20" s="16" t="n">
        <f aca="false">B20+C20</f>
        <v>1</v>
      </c>
      <c r="E20" s="16" t="s">
        <v>36</v>
      </c>
      <c r="F20" s="16" t="s">
        <v>24</v>
      </c>
      <c r="G20" s="16" t="str">
        <f aca="false">IF(OR(C20&gt;0,E20="Sustantiva",F20="Sustantiva"),"Sí","No")</f>
        <v>Sí</v>
      </c>
    </row>
    <row r="21" customFormat="false" ht="15" hidden="false" customHeight="true" outlineLevel="0" collapsed="false">
      <c r="A21" s="17" t="s">
        <v>461</v>
      </c>
      <c r="B21" s="17" t="n">
        <f aca="false">SUM(B5:B20)</f>
        <v>24</v>
      </c>
      <c r="C21" s="17" t="n">
        <f aca="false">SUM(C5:C20)</f>
        <v>8</v>
      </c>
      <c r="D21" s="17" t="n">
        <f aca="false">SUM(D5:D20)</f>
        <v>32</v>
      </c>
      <c r="E21" s="17" t="s">
        <v>462</v>
      </c>
      <c r="F21" s="17" t="s">
        <v>463</v>
      </c>
      <c r="G21" s="17" t="n">
        <f aca="false">COUNTIF(G5:G20,"Sí")</f>
        <v>8</v>
      </c>
    </row>
    <row r="22" customFormat="false" ht="15.75" hidden="false" customHeight="true" outlineLevel="0" collapsed="false"/>
    <row r="23" customFormat="false" ht="15" hidden="false" customHeight="true" outlineLevel="0" collapsed="false">
      <c r="A23" s="9" t="s">
        <v>464</v>
      </c>
    </row>
    <row r="24" customFormat="false" ht="15" hidden="false" customHeight="true" outlineLevel="0" collapsed="false">
      <c r="A24" s="18" t="s">
        <v>465</v>
      </c>
      <c r="B24" s="18"/>
      <c r="C24" s="18"/>
      <c r="D24" s="9" t="n">
        <f aca="false">COUNTIF(D5:D20,"&gt;0")</f>
        <v>13</v>
      </c>
    </row>
    <row r="25" customFormat="false" ht="15" hidden="false" customHeight="true" outlineLevel="0" collapsed="false">
      <c r="A25" s="18" t="s">
        <v>466</v>
      </c>
      <c r="B25" s="18"/>
      <c r="C25" s="18"/>
      <c r="D25" s="9" t="n">
        <f aca="false">COUNTIF(C5:C20,"&gt;0")</f>
        <v>2</v>
      </c>
    </row>
    <row r="26" customFormat="false" ht="15" hidden="false" customHeight="true" outlineLevel="0" collapsed="false">
      <c r="A26" s="18" t="s">
        <v>467</v>
      </c>
      <c r="B26" s="18"/>
      <c r="C26" s="18"/>
      <c r="D26" s="13" t="n">
        <f aca="false">IFERROR(C21/D21,0)</f>
        <v>0.25</v>
      </c>
    </row>
    <row r="27" customFormat="false" ht="15" hidden="false" customHeight="true" outlineLevel="0" collapsed="false">
      <c r="A27" s="18" t="s">
        <v>468</v>
      </c>
      <c r="B27" s="18"/>
      <c r="C27" s="18"/>
      <c r="D27" s="9" t="n">
        <f aca="false">COUNTIF(E5:E20,"Sin mención*")+COUNTIF(E5:E20,"Retórica")+COUNTIF(E5:E20,"Sustantiva")</f>
        <v>14</v>
      </c>
    </row>
    <row r="28" customFormat="false" ht="15" hidden="false" customHeight="true" outlineLevel="0" collapsed="false">
      <c r="A28" s="18" t="s">
        <v>469</v>
      </c>
      <c r="B28" s="18"/>
      <c r="C28" s="18"/>
      <c r="D28" s="9" t="n">
        <f aca="false">COUNTIF(E5:E20,"Retórica")+COUNTIF(E5:E20,"Sustantiva")</f>
        <v>1</v>
      </c>
    </row>
    <row r="29" customFormat="false" ht="15" hidden="false" customHeight="true" outlineLevel="0" collapsed="false">
      <c r="A29" s="18" t="s">
        <v>470</v>
      </c>
      <c r="B29" s="18"/>
      <c r="C29" s="18"/>
      <c r="D29" s="9" t="n">
        <f aca="false">COUNTIF(F5:F20,"Sin mención*")+COUNTIF(F5:F20,"Retórica")+COUNTIF(F5:F20,"Sustantiva")</f>
        <v>16</v>
      </c>
    </row>
    <row r="30" customFormat="false" ht="15" hidden="false" customHeight="true" outlineLevel="0" collapsed="false">
      <c r="A30" s="18" t="s">
        <v>471</v>
      </c>
      <c r="B30" s="18"/>
      <c r="C30" s="18"/>
      <c r="D30" s="9" t="n">
        <f aca="false">COUNTIF(F5:F20,"Sustantiva")</f>
        <v>7</v>
      </c>
    </row>
    <row r="31" customFormat="false" ht="15" hidden="false" customHeight="true" outlineLevel="0" collapsed="false">
      <c r="A31" s="18" t="s">
        <v>472</v>
      </c>
      <c r="B31" s="18"/>
      <c r="C31" s="18"/>
      <c r="D31" s="9" t="n">
        <f aca="false">COUNTIF(E5:F20,"No disponible")+COUNTIF(E5:F20,"No procesado")</f>
        <v>2</v>
      </c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8">
    <mergeCell ref="A24:C24"/>
    <mergeCell ref="A25:C25"/>
    <mergeCell ref="A26:C26"/>
    <mergeCell ref="A27:C27"/>
    <mergeCell ref="A28:C28"/>
    <mergeCell ref="A29:C29"/>
    <mergeCell ref="A30:C30"/>
    <mergeCell ref="A31:C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B5" activeCellId="0" sqref="B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2"/>
    <col collapsed="false" customWidth="true" hidden="false" outlineLevel="0" max="3" min="3" style="1" width="45"/>
    <col collapsed="false" customWidth="true" hidden="false" outlineLevel="0" max="6" min="4" style="1" width="12"/>
    <col collapsed="false" customWidth="true" hidden="false" outlineLevel="0" max="7" min="7" style="1" width="20"/>
    <col collapsed="false" customWidth="true" hidden="false" outlineLevel="0" max="8" min="8" style="1" width="14"/>
    <col collapsed="false" customWidth="true" hidden="false" outlineLevel="0" max="9" min="9" style="1" width="45"/>
    <col collapsed="false" customWidth="true" hidden="false" outlineLevel="0" max="26" min="10" style="1" width="8.71"/>
  </cols>
  <sheetData>
    <row r="1" customFormat="false" ht="15.75" hidden="false" customHeight="true" outlineLevel="0" collapsed="false">
      <c r="A1" s="2" t="s">
        <v>473</v>
      </c>
    </row>
    <row r="2" customFormat="false" ht="15" hidden="false" customHeight="true" outlineLevel="0" collapsed="false">
      <c r="A2" s="3" t="s">
        <v>474</v>
      </c>
    </row>
    <row r="3" customFormat="false" ht="15" hidden="false" customHeight="true" outlineLevel="0" collapsed="false"/>
    <row r="4" customFormat="false" ht="33.75" hidden="false" customHeight="true" outlineLevel="0" collapsed="false">
      <c r="A4" s="4" t="s">
        <v>64</v>
      </c>
      <c r="B4" s="4" t="s">
        <v>35</v>
      </c>
      <c r="C4" s="4" t="s">
        <v>475</v>
      </c>
      <c r="D4" s="4" t="s">
        <v>476</v>
      </c>
      <c r="E4" s="4" t="s">
        <v>477</v>
      </c>
      <c r="F4" s="4" t="s">
        <v>478</v>
      </c>
      <c r="G4" s="4" t="s">
        <v>479</v>
      </c>
      <c r="H4" s="4" t="s">
        <v>480</v>
      </c>
      <c r="I4" s="4" t="s">
        <v>481</v>
      </c>
    </row>
    <row r="5" customFormat="false" ht="15" hidden="false" customHeight="true" outlineLevel="0" collapsed="false">
      <c r="A5" s="6" t="s">
        <v>68</v>
      </c>
      <c r="B5" s="6" t="s">
        <v>152</v>
      </c>
      <c r="C5" s="6" t="s">
        <v>42</v>
      </c>
      <c r="D5" s="6" t="n">
        <v>1</v>
      </c>
      <c r="E5" s="12" t="n">
        <v>1</v>
      </c>
      <c r="F5" s="6" t="n">
        <f aca="false">IF(E5="","",IF(ABS(E5-D5)&lt;=1,1,0))</f>
        <v>1</v>
      </c>
      <c r="G5" s="12" t="s">
        <v>482</v>
      </c>
      <c r="H5" s="19" t="n">
        <v>46289</v>
      </c>
      <c r="I5" s="12"/>
    </row>
    <row r="6" customFormat="false" ht="23.25" hidden="false" customHeight="true" outlineLevel="0" collapsed="false">
      <c r="A6" s="6" t="s">
        <v>68</v>
      </c>
      <c r="B6" s="6" t="s">
        <v>152</v>
      </c>
      <c r="C6" s="6" t="s">
        <v>99</v>
      </c>
      <c r="D6" s="6" t="n">
        <v>1</v>
      </c>
      <c r="E6" s="12" t="n">
        <v>0</v>
      </c>
      <c r="F6" s="6" t="n">
        <f aca="false">IF(E6="","",IF(ABS(E6-D6)&lt;=1,1,0))</f>
        <v>1</v>
      </c>
      <c r="G6" s="12" t="s">
        <v>482</v>
      </c>
      <c r="H6" s="19" t="n">
        <v>46289</v>
      </c>
      <c r="I6" s="12" t="s">
        <v>483</v>
      </c>
    </row>
    <row r="7" customFormat="false" ht="15" hidden="false" customHeight="true" outlineLevel="0" collapsed="false">
      <c r="A7" s="6" t="s">
        <v>68</v>
      </c>
      <c r="B7" s="6" t="s">
        <v>152</v>
      </c>
      <c r="C7" s="6" t="s">
        <v>100</v>
      </c>
      <c r="D7" s="6" t="n">
        <v>0</v>
      </c>
      <c r="E7" s="12" t="n">
        <v>0</v>
      </c>
      <c r="F7" s="6" t="n">
        <f aca="false">IF(E7="","",IF(ABS(E7-D7)&lt;=1,1,0))</f>
        <v>1</v>
      </c>
      <c r="G7" s="12" t="s">
        <v>482</v>
      </c>
      <c r="H7" s="19" t="n">
        <v>46289</v>
      </c>
      <c r="I7" s="12"/>
    </row>
    <row r="8" customFormat="false" ht="15" hidden="false" customHeight="true" outlineLevel="0" collapsed="false">
      <c r="A8" s="6" t="s">
        <v>68</v>
      </c>
      <c r="B8" s="6" t="s">
        <v>152</v>
      </c>
      <c r="C8" s="6" t="s">
        <v>61</v>
      </c>
      <c r="D8" s="6" t="n">
        <v>0</v>
      </c>
      <c r="E8" s="12" t="n">
        <v>0</v>
      </c>
      <c r="F8" s="6" t="n">
        <f aca="false">IF(E8="","",IF(ABS(E8-D8)&lt;=1,1,0))</f>
        <v>1</v>
      </c>
      <c r="G8" s="12" t="s">
        <v>482</v>
      </c>
      <c r="H8" s="19" t="n">
        <v>46289</v>
      </c>
      <c r="I8" s="12"/>
    </row>
    <row r="9" customFormat="false" ht="34.5" hidden="false" customHeight="true" outlineLevel="0" collapsed="false">
      <c r="A9" s="6" t="s">
        <v>70</v>
      </c>
      <c r="B9" s="6" t="s">
        <v>152</v>
      </c>
      <c r="C9" s="6" t="s">
        <v>42</v>
      </c>
      <c r="D9" s="6" t="n">
        <v>2</v>
      </c>
      <c r="E9" s="12" t="n">
        <v>2</v>
      </c>
      <c r="F9" s="6" t="n">
        <f aca="false">IF(E9="","",IF(ABS(E9-D9)&lt;=1,1,0))</f>
        <v>1</v>
      </c>
      <c r="G9" s="12" t="s">
        <v>482</v>
      </c>
      <c r="H9" s="19" t="n">
        <v>46289</v>
      </c>
      <c r="I9" s="12" t="s">
        <v>484</v>
      </c>
    </row>
    <row r="10" customFormat="false" ht="34.5" hidden="false" customHeight="true" outlineLevel="0" collapsed="false">
      <c r="A10" s="6" t="s">
        <v>70</v>
      </c>
      <c r="B10" s="6" t="s">
        <v>152</v>
      </c>
      <c r="C10" s="6" t="s">
        <v>99</v>
      </c>
      <c r="D10" s="6" t="n">
        <v>4</v>
      </c>
      <c r="E10" s="12" t="n">
        <v>5</v>
      </c>
      <c r="F10" s="6" t="n">
        <f aca="false">IF(E10="","",IF(ABS(E10-D10)&lt;=1,1,0))</f>
        <v>1</v>
      </c>
      <c r="G10" s="12" t="s">
        <v>482</v>
      </c>
      <c r="H10" s="19" t="n">
        <v>46289</v>
      </c>
      <c r="I10" s="12" t="s">
        <v>485</v>
      </c>
    </row>
    <row r="11" customFormat="false" ht="15" hidden="false" customHeight="true" outlineLevel="0" collapsed="false">
      <c r="A11" s="6" t="s">
        <v>70</v>
      </c>
      <c r="B11" s="6" t="s">
        <v>152</v>
      </c>
      <c r="C11" s="6" t="s">
        <v>100</v>
      </c>
      <c r="D11" s="6" t="n">
        <v>2</v>
      </c>
      <c r="E11" s="12" t="n">
        <v>2</v>
      </c>
      <c r="F11" s="6" t="n">
        <f aca="false">IF(E11="","",IF(ABS(E11-D11)&lt;=1,1,0))</f>
        <v>1</v>
      </c>
      <c r="G11" s="12" t="s">
        <v>482</v>
      </c>
      <c r="H11" s="19" t="n">
        <v>46289</v>
      </c>
      <c r="I11" s="12"/>
    </row>
    <row r="12" customFormat="false" ht="15" hidden="false" customHeight="true" outlineLevel="0" collapsed="false">
      <c r="A12" s="6" t="s">
        <v>70</v>
      </c>
      <c r="B12" s="6" t="s">
        <v>152</v>
      </c>
      <c r="C12" s="6" t="s">
        <v>61</v>
      </c>
      <c r="D12" s="6" t="n">
        <v>0</v>
      </c>
      <c r="E12" s="12" t="n">
        <v>0</v>
      </c>
      <c r="F12" s="6" t="n">
        <f aca="false">IF(E12="","",IF(ABS(E12-D12)&lt;=1,1,0))</f>
        <v>1</v>
      </c>
      <c r="G12" s="12" t="s">
        <v>482</v>
      </c>
      <c r="H12" s="19" t="n">
        <v>46289</v>
      </c>
      <c r="I12" s="12"/>
    </row>
    <row r="13" customFormat="false" ht="15" hidden="false" customHeight="true" outlineLevel="0" collapsed="false">
      <c r="A13" s="6" t="s">
        <v>73</v>
      </c>
      <c r="B13" s="6" t="s">
        <v>152</v>
      </c>
      <c r="C13" s="6" t="s">
        <v>42</v>
      </c>
      <c r="D13" s="6" t="n">
        <v>0</v>
      </c>
      <c r="E13" s="12" t="n">
        <v>0</v>
      </c>
      <c r="F13" s="6" t="n">
        <f aca="false">IF(E13="","",IF(ABS(E13-D13)&lt;=1,1,0))</f>
        <v>1</v>
      </c>
      <c r="G13" s="12" t="s">
        <v>482</v>
      </c>
      <c r="H13" s="19" t="n">
        <v>46289</v>
      </c>
      <c r="I13" s="12"/>
    </row>
    <row r="14" customFormat="false" ht="23.25" hidden="false" customHeight="true" outlineLevel="0" collapsed="false">
      <c r="A14" s="6" t="s">
        <v>73</v>
      </c>
      <c r="B14" s="6" t="s">
        <v>152</v>
      </c>
      <c r="C14" s="6" t="s">
        <v>99</v>
      </c>
      <c r="D14" s="6" t="n">
        <v>2</v>
      </c>
      <c r="E14" s="12" t="n">
        <v>2</v>
      </c>
      <c r="F14" s="6" t="n">
        <f aca="false">IF(E14="","",IF(ABS(E14-D14)&lt;=1,1,0))</f>
        <v>1</v>
      </c>
      <c r="G14" s="12" t="s">
        <v>482</v>
      </c>
      <c r="H14" s="19" t="n">
        <v>46289</v>
      </c>
      <c r="I14" s="12" t="s">
        <v>486</v>
      </c>
    </row>
    <row r="15" customFormat="false" ht="15" hidden="false" customHeight="true" outlineLevel="0" collapsed="false">
      <c r="A15" s="6" t="s">
        <v>73</v>
      </c>
      <c r="B15" s="6" t="s">
        <v>152</v>
      </c>
      <c r="C15" s="6" t="s">
        <v>100</v>
      </c>
      <c r="D15" s="6" t="n">
        <v>0</v>
      </c>
      <c r="E15" s="12" t="n">
        <v>0</v>
      </c>
      <c r="F15" s="6" t="n">
        <f aca="false">IF(E15="","",IF(ABS(E15-D15)&lt;=1,1,0))</f>
        <v>1</v>
      </c>
      <c r="G15" s="12" t="s">
        <v>482</v>
      </c>
      <c r="H15" s="19" t="n">
        <v>46289</v>
      </c>
      <c r="I15" s="12"/>
    </row>
    <row r="16" customFormat="false" ht="15" hidden="false" customHeight="true" outlineLevel="0" collapsed="false">
      <c r="A16" s="6" t="s">
        <v>73</v>
      </c>
      <c r="B16" s="6" t="s">
        <v>152</v>
      </c>
      <c r="C16" s="6" t="s">
        <v>61</v>
      </c>
      <c r="D16" s="6" t="n">
        <v>0</v>
      </c>
      <c r="E16" s="12" t="n">
        <v>0</v>
      </c>
      <c r="F16" s="6" t="n">
        <f aca="false">IF(E16="","",IF(ABS(E16-D16)&lt;=1,1,0))</f>
        <v>1</v>
      </c>
      <c r="G16" s="12" t="s">
        <v>482</v>
      </c>
      <c r="H16" s="19" t="n">
        <v>46289</v>
      </c>
      <c r="I16" s="12"/>
    </row>
    <row r="17" customFormat="false" ht="34.5" hidden="false" customHeight="true" outlineLevel="0" collapsed="false">
      <c r="A17" s="6" t="s">
        <v>74</v>
      </c>
      <c r="B17" s="6" t="s">
        <v>152</v>
      </c>
      <c r="C17" s="6" t="s">
        <v>42</v>
      </c>
      <c r="D17" s="6" t="n">
        <v>3</v>
      </c>
      <c r="E17" s="12" t="n">
        <v>0</v>
      </c>
      <c r="F17" s="6" t="n">
        <f aca="false">IF(E17="","",IF(ABS(E17-D17)&lt;=1,1,0))</f>
        <v>0</v>
      </c>
      <c r="G17" s="12" t="s">
        <v>482</v>
      </c>
      <c r="H17" s="19" t="n">
        <v>46289</v>
      </c>
      <c r="I17" s="12" t="s">
        <v>487</v>
      </c>
    </row>
    <row r="18" customFormat="false" ht="23.25" hidden="false" customHeight="true" outlineLevel="0" collapsed="false">
      <c r="A18" s="6" t="s">
        <v>74</v>
      </c>
      <c r="B18" s="6" t="s">
        <v>152</v>
      </c>
      <c r="C18" s="6" t="s">
        <v>99</v>
      </c>
      <c r="D18" s="6" t="n">
        <v>3</v>
      </c>
      <c r="E18" s="12" t="n">
        <v>0</v>
      </c>
      <c r="F18" s="6" t="n">
        <f aca="false">IF(E18="","",IF(ABS(E18-D18)&lt;=1,1,0))</f>
        <v>0</v>
      </c>
      <c r="G18" s="12" t="s">
        <v>482</v>
      </c>
      <c r="H18" s="19" t="n">
        <v>46289</v>
      </c>
      <c r="I18" s="12" t="s">
        <v>488</v>
      </c>
    </row>
    <row r="19" customFormat="false" ht="15" hidden="false" customHeight="true" outlineLevel="0" collapsed="false">
      <c r="A19" s="6" t="s">
        <v>74</v>
      </c>
      <c r="B19" s="6" t="s">
        <v>152</v>
      </c>
      <c r="C19" s="6" t="s">
        <v>100</v>
      </c>
      <c r="D19" s="6" t="n">
        <v>0</v>
      </c>
      <c r="E19" s="12" t="n">
        <v>0</v>
      </c>
      <c r="F19" s="6" t="n">
        <f aca="false">IF(E19="","",IF(ABS(E19-D19)&lt;=1,1,0))</f>
        <v>1</v>
      </c>
      <c r="G19" s="12" t="s">
        <v>482</v>
      </c>
      <c r="H19" s="19" t="n">
        <v>46289</v>
      </c>
      <c r="I19" s="12" t="s">
        <v>489</v>
      </c>
    </row>
    <row r="20" customFormat="false" ht="15" hidden="false" customHeight="true" outlineLevel="0" collapsed="false">
      <c r="A20" s="6" t="s">
        <v>74</v>
      </c>
      <c r="B20" s="6" t="s">
        <v>152</v>
      </c>
      <c r="C20" s="6" t="s">
        <v>61</v>
      </c>
      <c r="D20" s="6" t="n">
        <v>0</v>
      </c>
      <c r="E20" s="12" t="n">
        <v>0</v>
      </c>
      <c r="F20" s="6" t="n">
        <f aca="false">IF(E20="","",IF(ABS(E20-D20)&lt;=1,1,0))</f>
        <v>1</v>
      </c>
      <c r="G20" s="12" t="s">
        <v>482</v>
      </c>
      <c r="H20" s="19" t="n">
        <v>46289</v>
      </c>
      <c r="I20" s="12"/>
    </row>
    <row r="21" customFormat="false" ht="15" hidden="false" customHeight="true" outlineLevel="0" collapsed="false">
      <c r="A21" s="6" t="s">
        <v>75</v>
      </c>
      <c r="B21" s="6" t="s">
        <v>152</v>
      </c>
      <c r="C21" s="6" t="s">
        <v>42</v>
      </c>
      <c r="D21" s="6" t="n">
        <v>1</v>
      </c>
      <c r="E21" s="12" t="n">
        <v>1</v>
      </c>
      <c r="F21" s="6" t="n">
        <f aca="false">IF(E21="","",IF(ABS(E21-D21)&lt;=1,1,0))</f>
        <v>1</v>
      </c>
      <c r="G21" s="12" t="s">
        <v>482</v>
      </c>
      <c r="H21" s="19" t="n">
        <v>46289</v>
      </c>
      <c r="I21" s="12"/>
    </row>
    <row r="22" customFormat="false" ht="34.5" hidden="false" customHeight="true" outlineLevel="0" collapsed="false">
      <c r="A22" s="6" t="s">
        <v>75</v>
      </c>
      <c r="B22" s="6" t="s">
        <v>152</v>
      </c>
      <c r="C22" s="6" t="s">
        <v>99</v>
      </c>
      <c r="D22" s="6" t="n">
        <v>1</v>
      </c>
      <c r="E22" s="12" t="n">
        <v>2</v>
      </c>
      <c r="F22" s="6" t="n">
        <f aca="false">IF(E22="","",IF(ABS(E22-D22)&lt;=1,1,0))</f>
        <v>1</v>
      </c>
      <c r="G22" s="12" t="s">
        <v>482</v>
      </c>
      <c r="H22" s="19" t="n">
        <v>46289</v>
      </c>
      <c r="I22" s="12" t="s">
        <v>490</v>
      </c>
    </row>
    <row r="23" customFormat="false" ht="15" hidden="false" customHeight="true" outlineLevel="0" collapsed="false">
      <c r="A23" s="6" t="s">
        <v>75</v>
      </c>
      <c r="B23" s="6" t="s">
        <v>152</v>
      </c>
      <c r="C23" s="6" t="s">
        <v>100</v>
      </c>
      <c r="D23" s="6" t="n">
        <v>1</v>
      </c>
      <c r="E23" s="12" t="n">
        <v>1</v>
      </c>
      <c r="F23" s="6" t="n">
        <f aca="false">IF(E23="","",IF(ABS(E23-D23)&lt;=1,1,0))</f>
        <v>1</v>
      </c>
      <c r="G23" s="12" t="s">
        <v>482</v>
      </c>
      <c r="H23" s="19" t="n">
        <v>46289</v>
      </c>
      <c r="I23" s="12"/>
    </row>
    <row r="24" customFormat="false" ht="15" hidden="false" customHeight="true" outlineLevel="0" collapsed="false">
      <c r="A24" s="6" t="s">
        <v>75</v>
      </c>
      <c r="B24" s="6" t="s">
        <v>152</v>
      </c>
      <c r="C24" s="6" t="s">
        <v>61</v>
      </c>
      <c r="D24" s="6" t="n">
        <v>0</v>
      </c>
      <c r="E24" s="12" t="n">
        <v>0</v>
      </c>
      <c r="F24" s="6" t="n">
        <f aca="false">IF(E24="","",IF(ABS(E24-D24)&lt;=1,1,0))</f>
        <v>1</v>
      </c>
      <c r="G24" s="12" t="s">
        <v>482</v>
      </c>
      <c r="H24" s="19" t="n">
        <v>46289</v>
      </c>
      <c r="I24" s="12"/>
    </row>
    <row r="25" customFormat="false" ht="15.75" hidden="false" customHeight="true" outlineLevel="0" collapsed="false"/>
    <row r="26" customFormat="false" ht="15" hidden="false" customHeight="true" outlineLevel="0" collapsed="false">
      <c r="A26" s="9" t="s">
        <v>491</v>
      </c>
    </row>
    <row r="27" customFormat="false" ht="57.75" hidden="false" customHeight="true" outlineLevel="0" collapsed="false">
      <c r="A27" s="20" t="s">
        <v>492</v>
      </c>
      <c r="B27" s="20"/>
      <c r="C27" s="20"/>
      <c r="D27" s="20"/>
      <c r="E27" s="20"/>
      <c r="F27" s="20"/>
      <c r="G27" s="20"/>
      <c r="H27" s="20"/>
      <c r="I27" s="20"/>
    </row>
    <row r="28" customFormat="false" ht="23.25" hidden="false" customHeight="true" outlineLevel="0" collapsed="false">
      <c r="A28" s="6" t="s">
        <v>67</v>
      </c>
      <c r="B28" s="6" t="s">
        <v>307</v>
      </c>
      <c r="C28" s="6" t="s">
        <v>493</v>
      </c>
      <c r="D28" s="6" t="n">
        <v>0</v>
      </c>
      <c r="E28" s="12"/>
      <c r="F28" s="6" t="str">
        <f aca="false">IF(E28="","",IF(ABS(E28-D28)&lt;=MAX(1,0.1*D28),1,0))</f>
        <v/>
      </c>
      <c r="G28" s="12"/>
      <c r="H28" s="12"/>
      <c r="I28" s="12"/>
    </row>
    <row r="29" customFormat="false" ht="23.25" hidden="false" customHeight="true" outlineLevel="0" collapsed="false">
      <c r="A29" s="6" t="s">
        <v>67</v>
      </c>
      <c r="B29" s="6" t="s">
        <v>307</v>
      </c>
      <c r="C29" s="6" t="s">
        <v>494</v>
      </c>
      <c r="D29" s="6" t="n">
        <v>1</v>
      </c>
      <c r="E29" s="12"/>
      <c r="F29" s="6" t="str">
        <f aca="false">IF(E29="","",IF(ABS(E29-D29)&lt;=MAX(1,0.1*D29),1,0))</f>
        <v/>
      </c>
      <c r="G29" s="12"/>
      <c r="H29" s="12"/>
      <c r="I29" s="12"/>
    </row>
    <row r="30" customFormat="false" ht="23.25" hidden="false" customHeight="true" outlineLevel="0" collapsed="false">
      <c r="A30" s="6" t="s">
        <v>67</v>
      </c>
      <c r="B30" s="6" t="s">
        <v>307</v>
      </c>
      <c r="C30" s="6" t="s">
        <v>495</v>
      </c>
      <c r="D30" s="6" t="n">
        <v>0</v>
      </c>
      <c r="E30" s="12"/>
      <c r="F30" s="6" t="str">
        <f aca="false">IF(E30="","",IF(ABS(E30-D30)&lt;=MAX(1,0.1*D30),1,0))</f>
        <v/>
      </c>
      <c r="G30" s="12"/>
      <c r="H30" s="12"/>
      <c r="I30" s="12"/>
    </row>
    <row r="31" customFormat="false" ht="23.25" hidden="false" customHeight="true" outlineLevel="0" collapsed="false">
      <c r="A31" s="6" t="s">
        <v>67</v>
      </c>
      <c r="B31" s="6" t="s">
        <v>307</v>
      </c>
      <c r="C31" s="6" t="s">
        <v>496</v>
      </c>
      <c r="D31" s="6" t="n">
        <v>0</v>
      </c>
      <c r="E31" s="12"/>
      <c r="F31" s="6" t="str">
        <f aca="false">IF(E31="","",IF(ABS(E31-D31)&lt;=MAX(1,0.1*D31),1,0))</f>
        <v/>
      </c>
      <c r="G31" s="12"/>
      <c r="H31" s="12"/>
      <c r="I31" s="12"/>
    </row>
    <row r="32" customFormat="false" ht="15" hidden="false" customHeight="true" outlineLevel="0" collapsed="false">
      <c r="A32" s="6" t="s">
        <v>68</v>
      </c>
      <c r="B32" s="6" t="s">
        <v>313</v>
      </c>
      <c r="C32" s="6" t="s">
        <v>497</v>
      </c>
      <c r="D32" s="6" t="n">
        <v>1</v>
      </c>
      <c r="E32" s="12"/>
      <c r="F32" s="6" t="str">
        <f aca="false">IF(E32="","",IF(ABS(E32-D32)&lt;=MAX(1,0.1*D32),1,0))</f>
        <v/>
      </c>
      <c r="G32" s="12"/>
      <c r="H32" s="12"/>
      <c r="I32" s="12"/>
    </row>
    <row r="33" customFormat="false" ht="23.25" hidden="false" customHeight="true" outlineLevel="0" collapsed="false">
      <c r="A33" s="6" t="s">
        <v>68</v>
      </c>
      <c r="B33" s="6" t="s">
        <v>313</v>
      </c>
      <c r="C33" s="6" t="s">
        <v>498</v>
      </c>
      <c r="D33" s="6" t="n">
        <v>1</v>
      </c>
      <c r="E33" s="12"/>
      <c r="F33" s="6" t="str">
        <f aca="false">IF(E33="","",IF(ABS(E33-D33)&lt;=MAX(1,0.1*D33),1,0))</f>
        <v/>
      </c>
      <c r="G33" s="12"/>
      <c r="H33" s="12"/>
      <c r="I33" s="12"/>
    </row>
    <row r="34" customFormat="false" ht="15" hidden="false" customHeight="true" outlineLevel="0" collapsed="false">
      <c r="A34" s="6" t="s">
        <v>68</v>
      </c>
      <c r="B34" s="6" t="s">
        <v>313</v>
      </c>
      <c r="C34" s="6" t="s">
        <v>499</v>
      </c>
      <c r="D34" s="6" t="n">
        <v>1</v>
      </c>
      <c r="E34" s="12"/>
      <c r="F34" s="6" t="str">
        <f aca="false">IF(E34="","",IF(ABS(E34-D34)&lt;=MAX(1,0.1*D34),1,0))</f>
        <v/>
      </c>
      <c r="G34" s="12"/>
      <c r="H34" s="12"/>
      <c r="I34" s="12"/>
    </row>
    <row r="35" customFormat="false" ht="15" hidden="false" customHeight="true" outlineLevel="0" collapsed="false">
      <c r="A35" s="6" t="s">
        <v>68</v>
      </c>
      <c r="B35" s="6" t="s">
        <v>313</v>
      </c>
      <c r="C35" s="6" t="s">
        <v>500</v>
      </c>
      <c r="D35" s="6" t="n">
        <v>0</v>
      </c>
      <c r="E35" s="12"/>
      <c r="F35" s="6" t="str">
        <f aca="false">IF(E35="","",IF(ABS(E35-D35)&lt;=MAX(1,0.1*D35),1,0))</f>
        <v/>
      </c>
      <c r="G35" s="12"/>
      <c r="H35" s="12"/>
      <c r="I35" s="12"/>
    </row>
    <row r="36" customFormat="false" ht="23.25" hidden="false" customHeight="true" outlineLevel="0" collapsed="false">
      <c r="A36" s="6" t="s">
        <v>69</v>
      </c>
      <c r="B36" s="6" t="s">
        <v>313</v>
      </c>
      <c r="C36" s="6" t="s">
        <v>501</v>
      </c>
      <c r="D36" s="6" t="n">
        <v>14</v>
      </c>
      <c r="E36" s="12"/>
      <c r="F36" s="6" t="str">
        <f aca="false">IF(E36="","",IF(ABS(E36-D36)&lt;=MAX(1,0.1*D36),1,0))</f>
        <v/>
      </c>
      <c r="G36" s="12"/>
      <c r="H36" s="12"/>
      <c r="I36" s="12"/>
    </row>
    <row r="37" customFormat="false" ht="23.25" hidden="false" customHeight="true" outlineLevel="0" collapsed="false">
      <c r="A37" s="6" t="s">
        <v>69</v>
      </c>
      <c r="B37" s="6" t="s">
        <v>313</v>
      </c>
      <c r="C37" s="6" t="s">
        <v>502</v>
      </c>
      <c r="D37" s="6" t="n">
        <v>5</v>
      </c>
      <c r="E37" s="12"/>
      <c r="F37" s="6" t="str">
        <f aca="false">IF(E37="","",IF(ABS(E37-D37)&lt;=MAX(1,0.1*D37),1,0))</f>
        <v/>
      </c>
      <c r="G37" s="12"/>
      <c r="H37" s="12"/>
      <c r="I37" s="12"/>
    </row>
    <row r="38" customFormat="false" ht="23.25" hidden="false" customHeight="true" outlineLevel="0" collapsed="false">
      <c r="A38" s="6" t="s">
        <v>69</v>
      </c>
      <c r="B38" s="6" t="s">
        <v>313</v>
      </c>
      <c r="C38" s="6" t="s">
        <v>503</v>
      </c>
      <c r="D38" s="6" t="n">
        <v>4</v>
      </c>
      <c r="E38" s="12"/>
      <c r="F38" s="6" t="str">
        <f aca="false">IF(E38="","",IF(ABS(E38-D38)&lt;=MAX(1,0.1*D38),1,0))</f>
        <v/>
      </c>
      <c r="G38" s="12"/>
      <c r="H38" s="12"/>
      <c r="I38" s="12"/>
    </row>
    <row r="39" customFormat="false" ht="23.25" hidden="false" customHeight="true" outlineLevel="0" collapsed="false">
      <c r="A39" s="6" t="s">
        <v>69</v>
      </c>
      <c r="B39" s="6" t="s">
        <v>313</v>
      </c>
      <c r="C39" s="6" t="s">
        <v>504</v>
      </c>
      <c r="D39" s="6" t="n">
        <v>0</v>
      </c>
      <c r="E39" s="12"/>
      <c r="F39" s="6" t="str">
        <f aca="false">IF(E39="","",IF(ABS(E39-D39)&lt;=MAX(1,0.1*D39),1,0))</f>
        <v/>
      </c>
      <c r="G39" s="12"/>
      <c r="H39" s="12"/>
      <c r="I39" s="12"/>
    </row>
    <row r="40" customFormat="false" ht="15" hidden="false" customHeight="true" outlineLevel="0" collapsed="false">
      <c r="A40" s="6" t="s">
        <v>70</v>
      </c>
      <c r="B40" s="6" t="s">
        <v>313</v>
      </c>
      <c r="C40" s="6" t="s">
        <v>505</v>
      </c>
      <c r="D40" s="6" t="n">
        <v>14</v>
      </c>
      <c r="E40" s="12"/>
      <c r="F40" s="6" t="str">
        <f aca="false">IF(E40="","",IF(ABS(E40-D40)&lt;=MAX(1,0.1*D40),1,0))</f>
        <v/>
      </c>
      <c r="G40" s="12"/>
      <c r="H40" s="12"/>
      <c r="I40" s="12"/>
    </row>
    <row r="41" customFormat="false" ht="23.25" hidden="false" customHeight="true" outlineLevel="0" collapsed="false">
      <c r="A41" s="6" t="s">
        <v>70</v>
      </c>
      <c r="B41" s="6" t="s">
        <v>313</v>
      </c>
      <c r="C41" s="6" t="s">
        <v>506</v>
      </c>
      <c r="D41" s="6" t="n">
        <v>7</v>
      </c>
      <c r="E41" s="12"/>
      <c r="F41" s="6" t="str">
        <f aca="false">IF(E41="","",IF(ABS(E41-D41)&lt;=MAX(1,0.1*D41),1,0))</f>
        <v/>
      </c>
      <c r="G41" s="12"/>
      <c r="H41" s="12"/>
      <c r="I41" s="12"/>
    </row>
    <row r="42" customFormat="false" ht="23.25" hidden="false" customHeight="true" outlineLevel="0" collapsed="false">
      <c r="A42" s="6" t="s">
        <v>70</v>
      </c>
      <c r="B42" s="6" t="s">
        <v>313</v>
      </c>
      <c r="C42" s="6" t="s">
        <v>507</v>
      </c>
      <c r="D42" s="6" t="n">
        <v>2</v>
      </c>
      <c r="E42" s="12"/>
      <c r="F42" s="6" t="str">
        <f aca="false">IF(E42="","",IF(ABS(E42-D42)&lt;=MAX(1,0.1*D42),1,0))</f>
        <v/>
      </c>
      <c r="G42" s="12"/>
      <c r="H42" s="12"/>
      <c r="I42" s="12"/>
    </row>
    <row r="43" customFormat="false" ht="23.25" hidden="false" customHeight="true" outlineLevel="0" collapsed="false">
      <c r="A43" s="6" t="s">
        <v>70</v>
      </c>
      <c r="B43" s="6" t="s">
        <v>313</v>
      </c>
      <c r="C43" s="6" t="s">
        <v>508</v>
      </c>
      <c r="D43" s="6" t="n">
        <v>1</v>
      </c>
      <c r="E43" s="12"/>
      <c r="F43" s="6" t="str">
        <f aca="false">IF(E43="","",IF(ABS(E43-D43)&lt;=MAX(1,0.1*D43),1,0))</f>
        <v/>
      </c>
      <c r="G43" s="12"/>
      <c r="H43" s="12"/>
      <c r="I43" s="12"/>
    </row>
    <row r="44" customFormat="false" ht="15" hidden="false" customHeight="true" outlineLevel="0" collapsed="false">
      <c r="A44" s="6" t="s">
        <v>71</v>
      </c>
      <c r="B44" s="6" t="s">
        <v>313</v>
      </c>
      <c r="C44" s="6" t="s">
        <v>509</v>
      </c>
      <c r="D44" s="6" t="n">
        <v>12</v>
      </c>
      <c r="E44" s="12"/>
      <c r="F44" s="6" t="str">
        <f aca="false">IF(E44="","",IF(ABS(E44-D44)&lt;=MAX(1,0.1*D44),1,0))</f>
        <v/>
      </c>
      <c r="G44" s="12"/>
      <c r="H44" s="12"/>
      <c r="I44" s="12"/>
    </row>
    <row r="45" customFormat="false" ht="15" hidden="false" customHeight="true" outlineLevel="0" collapsed="false">
      <c r="A45" s="6" t="s">
        <v>71</v>
      </c>
      <c r="B45" s="6" t="s">
        <v>313</v>
      </c>
      <c r="C45" s="6" t="s">
        <v>510</v>
      </c>
      <c r="D45" s="6" t="n">
        <v>2</v>
      </c>
      <c r="E45" s="12"/>
      <c r="F45" s="6" t="str">
        <f aca="false">IF(E45="","",IF(ABS(E45-D45)&lt;=MAX(1,0.1*D45),1,0))</f>
        <v/>
      </c>
      <c r="G45" s="12"/>
      <c r="H45" s="12"/>
      <c r="I45" s="12"/>
    </row>
    <row r="46" customFormat="false" ht="15" hidden="false" customHeight="true" outlineLevel="0" collapsed="false">
      <c r="A46" s="6" t="s">
        <v>71</v>
      </c>
      <c r="B46" s="6" t="s">
        <v>313</v>
      </c>
      <c r="C46" s="6" t="s">
        <v>511</v>
      </c>
      <c r="D46" s="6" t="n">
        <v>0</v>
      </c>
      <c r="E46" s="12"/>
      <c r="F46" s="6" t="str">
        <f aca="false">IF(E46="","",IF(ABS(E46-D46)&lt;=MAX(1,0.1*D46),1,0))</f>
        <v/>
      </c>
      <c r="G46" s="12"/>
      <c r="H46" s="12"/>
      <c r="I46" s="12"/>
    </row>
    <row r="47" customFormat="false" ht="15" hidden="false" customHeight="true" outlineLevel="0" collapsed="false">
      <c r="A47" s="6" t="s">
        <v>71</v>
      </c>
      <c r="B47" s="6" t="s">
        <v>313</v>
      </c>
      <c r="C47" s="6" t="s">
        <v>512</v>
      </c>
      <c r="D47" s="6" t="n">
        <v>1</v>
      </c>
      <c r="E47" s="12"/>
      <c r="F47" s="6" t="str">
        <f aca="false">IF(E47="","",IF(ABS(E47-D47)&lt;=MAX(1,0.1*D47),1,0))</f>
        <v/>
      </c>
      <c r="G47" s="12"/>
      <c r="H47" s="12"/>
      <c r="I47" s="12"/>
    </row>
    <row r="48" customFormat="false" ht="23.25" hidden="false" customHeight="true" outlineLevel="0" collapsed="false">
      <c r="A48" s="6" t="s">
        <v>73</v>
      </c>
      <c r="B48" s="6" t="s">
        <v>313</v>
      </c>
      <c r="C48" s="6" t="s">
        <v>513</v>
      </c>
      <c r="D48" s="6" t="n">
        <v>22</v>
      </c>
      <c r="E48" s="12"/>
      <c r="F48" s="6" t="str">
        <f aca="false">IF(E48="","",IF(ABS(E48-D48)&lt;=MAX(1,0.1*D48),1,0))</f>
        <v/>
      </c>
      <c r="G48" s="12"/>
      <c r="H48" s="12"/>
      <c r="I48" s="12"/>
    </row>
    <row r="49" customFormat="false" ht="23.25" hidden="false" customHeight="true" outlineLevel="0" collapsed="false">
      <c r="A49" s="6" t="s">
        <v>73</v>
      </c>
      <c r="B49" s="6" t="s">
        <v>313</v>
      </c>
      <c r="C49" s="6" t="s">
        <v>514</v>
      </c>
      <c r="D49" s="6" t="n">
        <v>13</v>
      </c>
      <c r="E49" s="12"/>
      <c r="F49" s="6" t="str">
        <f aca="false">IF(E49="","",IF(ABS(E49-D49)&lt;=MAX(1,0.1*D49),1,0))</f>
        <v/>
      </c>
      <c r="G49" s="12"/>
      <c r="H49" s="12"/>
      <c r="I49" s="12"/>
    </row>
    <row r="50" customFormat="false" ht="23.25" hidden="false" customHeight="true" outlineLevel="0" collapsed="false">
      <c r="A50" s="6" t="s">
        <v>73</v>
      </c>
      <c r="B50" s="6" t="s">
        <v>313</v>
      </c>
      <c r="C50" s="6" t="s">
        <v>515</v>
      </c>
      <c r="D50" s="6" t="n">
        <v>34</v>
      </c>
      <c r="E50" s="12"/>
      <c r="F50" s="6" t="str">
        <f aca="false">IF(E50="","",IF(ABS(E50-D50)&lt;=MAX(1,0.1*D50),1,0))</f>
        <v/>
      </c>
      <c r="G50" s="12"/>
      <c r="H50" s="12"/>
      <c r="I50" s="12"/>
    </row>
    <row r="51" customFormat="false" ht="23.25" hidden="false" customHeight="true" outlineLevel="0" collapsed="false">
      <c r="A51" s="6" t="s">
        <v>73</v>
      </c>
      <c r="B51" s="6" t="s">
        <v>313</v>
      </c>
      <c r="C51" s="6" t="s">
        <v>516</v>
      </c>
      <c r="D51" s="6" t="n">
        <v>0</v>
      </c>
      <c r="E51" s="12"/>
      <c r="F51" s="6" t="str">
        <f aca="false">IF(E51="","",IF(ABS(E51-D51)&lt;=MAX(1,0.1*D51),1,0))</f>
        <v/>
      </c>
      <c r="G51" s="12"/>
      <c r="H51" s="12"/>
      <c r="I51" s="12"/>
    </row>
    <row r="52" customFormat="false" ht="23.25" hidden="false" customHeight="true" outlineLevel="0" collapsed="false">
      <c r="A52" s="6" t="s">
        <v>76</v>
      </c>
      <c r="B52" s="6" t="s">
        <v>313</v>
      </c>
      <c r="C52" s="6" t="s">
        <v>517</v>
      </c>
      <c r="D52" s="6" t="n">
        <v>3</v>
      </c>
      <c r="E52" s="12"/>
      <c r="F52" s="6" t="str">
        <f aca="false">IF(E52="","",IF(ABS(E52-D52)&lt;=MAX(1,0.1*D52),1,0))</f>
        <v/>
      </c>
      <c r="G52" s="12"/>
      <c r="H52" s="12"/>
      <c r="I52" s="12"/>
    </row>
    <row r="53" customFormat="false" ht="34.5" hidden="false" customHeight="true" outlineLevel="0" collapsed="false">
      <c r="A53" s="6" t="s">
        <v>76</v>
      </c>
      <c r="B53" s="6" t="s">
        <v>313</v>
      </c>
      <c r="C53" s="6" t="s">
        <v>518</v>
      </c>
      <c r="D53" s="6" t="n">
        <v>1</v>
      </c>
      <c r="E53" s="12"/>
      <c r="F53" s="6" t="str">
        <f aca="false">IF(E53="","",IF(ABS(E53-D53)&lt;=MAX(1,0.1*D53),1,0))</f>
        <v/>
      </c>
      <c r="G53" s="12"/>
      <c r="H53" s="12"/>
      <c r="I53" s="12"/>
    </row>
    <row r="54" customFormat="false" ht="23.25" hidden="false" customHeight="true" outlineLevel="0" collapsed="false">
      <c r="A54" s="6" t="s">
        <v>76</v>
      </c>
      <c r="B54" s="6" t="s">
        <v>313</v>
      </c>
      <c r="C54" s="6" t="s">
        <v>519</v>
      </c>
      <c r="D54" s="6" t="n">
        <v>0</v>
      </c>
      <c r="E54" s="12"/>
      <c r="F54" s="6" t="str">
        <f aca="false">IF(E54="","",IF(ABS(E54-D54)&lt;=MAX(1,0.1*D54),1,0))</f>
        <v/>
      </c>
      <c r="G54" s="12"/>
      <c r="H54" s="12"/>
      <c r="I54" s="12"/>
    </row>
    <row r="55" customFormat="false" ht="23.25" hidden="false" customHeight="true" outlineLevel="0" collapsed="false">
      <c r="A55" s="6" t="s">
        <v>76</v>
      </c>
      <c r="B55" s="6" t="s">
        <v>313</v>
      </c>
      <c r="C55" s="6" t="s">
        <v>520</v>
      </c>
      <c r="D55" s="6" t="n">
        <v>0</v>
      </c>
      <c r="E55" s="12"/>
      <c r="F55" s="6" t="str">
        <f aca="false">IF(E55="","",IF(ABS(E55-D55)&lt;=MAX(1,0.1*D55),1,0))</f>
        <v/>
      </c>
      <c r="G55" s="12"/>
      <c r="H55" s="12"/>
      <c r="I55" s="12"/>
    </row>
    <row r="56" customFormat="false" ht="23.25" hidden="false" customHeight="true" outlineLevel="0" collapsed="false">
      <c r="A56" s="6" t="s">
        <v>78</v>
      </c>
      <c r="B56" s="6" t="s">
        <v>313</v>
      </c>
      <c r="C56" s="6" t="s">
        <v>521</v>
      </c>
      <c r="D56" s="6" t="n">
        <v>1</v>
      </c>
      <c r="E56" s="12"/>
      <c r="F56" s="6" t="str">
        <f aca="false">IF(E56="","",IF(ABS(E56-D56)&lt;=MAX(1,0.1*D56),1,0))</f>
        <v/>
      </c>
      <c r="G56" s="12"/>
      <c r="H56" s="12"/>
      <c r="I56" s="12"/>
    </row>
    <row r="57" customFormat="false" ht="23.25" hidden="false" customHeight="true" outlineLevel="0" collapsed="false">
      <c r="A57" s="6" t="s">
        <v>78</v>
      </c>
      <c r="B57" s="6" t="s">
        <v>313</v>
      </c>
      <c r="C57" s="6" t="s">
        <v>522</v>
      </c>
      <c r="D57" s="6" t="n">
        <v>1</v>
      </c>
      <c r="E57" s="12"/>
      <c r="F57" s="6" t="str">
        <f aca="false">IF(E57="","",IF(ABS(E57-D57)&lt;=MAX(1,0.1*D57),1,0))</f>
        <v/>
      </c>
      <c r="G57" s="12"/>
      <c r="H57" s="12"/>
      <c r="I57" s="12"/>
    </row>
    <row r="58" customFormat="false" ht="23.25" hidden="false" customHeight="true" outlineLevel="0" collapsed="false">
      <c r="A58" s="6" t="s">
        <v>78</v>
      </c>
      <c r="B58" s="6" t="s">
        <v>313</v>
      </c>
      <c r="C58" s="6" t="s">
        <v>523</v>
      </c>
      <c r="D58" s="6" t="n">
        <v>0</v>
      </c>
      <c r="E58" s="12"/>
      <c r="F58" s="6" t="str">
        <f aca="false">IF(E58="","",IF(ABS(E58-D58)&lt;=MAX(1,0.1*D58),1,0))</f>
        <v/>
      </c>
      <c r="G58" s="12"/>
      <c r="H58" s="12"/>
      <c r="I58" s="12"/>
    </row>
    <row r="59" customFormat="false" ht="23.25" hidden="false" customHeight="true" outlineLevel="0" collapsed="false">
      <c r="A59" s="6" t="s">
        <v>78</v>
      </c>
      <c r="B59" s="6" t="s">
        <v>313</v>
      </c>
      <c r="C59" s="6" t="s">
        <v>524</v>
      </c>
      <c r="D59" s="6" t="n">
        <v>0</v>
      </c>
      <c r="E59" s="12"/>
      <c r="F59" s="6" t="str">
        <f aca="false">IF(E59="","",IF(ABS(E59-D59)&lt;=MAX(1,0.1*D59),1,0))</f>
        <v/>
      </c>
      <c r="G59" s="12"/>
      <c r="H59" s="12"/>
      <c r="I59" s="12"/>
    </row>
    <row r="60" customFormat="false" ht="23.25" hidden="false" customHeight="true" outlineLevel="0" collapsed="false">
      <c r="A60" s="6" t="s">
        <v>80</v>
      </c>
      <c r="B60" s="6" t="s">
        <v>313</v>
      </c>
      <c r="C60" s="6" t="s">
        <v>525</v>
      </c>
      <c r="D60" s="6" t="n">
        <v>2</v>
      </c>
      <c r="E60" s="12"/>
      <c r="F60" s="6" t="str">
        <f aca="false">IF(E60="","",IF(ABS(E60-D60)&lt;=MAX(1,0.1*D60),1,0))</f>
        <v/>
      </c>
      <c r="G60" s="12"/>
      <c r="H60" s="12"/>
      <c r="I60" s="12"/>
    </row>
    <row r="61" customFormat="false" ht="34.5" hidden="false" customHeight="true" outlineLevel="0" collapsed="false">
      <c r="A61" s="6" t="s">
        <v>80</v>
      </c>
      <c r="B61" s="6" t="s">
        <v>313</v>
      </c>
      <c r="C61" s="6" t="s">
        <v>526</v>
      </c>
      <c r="D61" s="6" t="n">
        <v>1</v>
      </c>
      <c r="E61" s="12"/>
      <c r="F61" s="6" t="str">
        <f aca="false">IF(E61="","",IF(ABS(E61-D61)&lt;=MAX(1,0.1*D61),1,0))</f>
        <v/>
      </c>
      <c r="G61" s="12"/>
      <c r="H61" s="12"/>
      <c r="I61" s="12"/>
    </row>
    <row r="62" customFormat="false" ht="23.25" hidden="false" customHeight="true" outlineLevel="0" collapsed="false">
      <c r="A62" s="6" t="s">
        <v>80</v>
      </c>
      <c r="B62" s="6" t="s">
        <v>313</v>
      </c>
      <c r="C62" s="6" t="s">
        <v>527</v>
      </c>
      <c r="D62" s="6" t="n">
        <v>0</v>
      </c>
      <c r="E62" s="12"/>
      <c r="F62" s="6" t="str">
        <f aca="false">IF(E62="","",IF(ABS(E62-D62)&lt;=MAX(1,0.1*D62),1,0))</f>
        <v/>
      </c>
      <c r="G62" s="12"/>
      <c r="H62" s="12"/>
      <c r="I62" s="12"/>
    </row>
    <row r="63" customFormat="false" ht="23.25" hidden="false" customHeight="true" outlineLevel="0" collapsed="false">
      <c r="A63" s="6" t="s">
        <v>80</v>
      </c>
      <c r="B63" s="6" t="s">
        <v>313</v>
      </c>
      <c r="C63" s="6" t="s">
        <v>528</v>
      </c>
      <c r="D63" s="6" t="n">
        <v>0</v>
      </c>
      <c r="E63" s="12"/>
      <c r="F63" s="6" t="str">
        <f aca="false">IF(E63="","",IF(ABS(E63-D63)&lt;=MAX(1,0.1*D63),1,0))</f>
        <v/>
      </c>
      <c r="G63" s="12"/>
      <c r="H63" s="12"/>
      <c r="I63" s="12"/>
    </row>
    <row r="64" customFormat="false" ht="15.75" hidden="false" customHeight="true" outlineLevel="0" collapsed="false"/>
    <row r="65" customFormat="false" ht="15" hidden="false" customHeight="true" outlineLevel="0" collapsed="false">
      <c r="C65" s="9" t="s">
        <v>529</v>
      </c>
      <c r="F65" s="13" t="n">
        <f aca="false">IFERROR(AVERAGE(F5:F24),"")</f>
        <v>0.9</v>
      </c>
    </row>
    <row r="66" customFormat="false" ht="15" hidden="false" customHeight="true" outlineLevel="0" collapsed="false">
      <c r="C66" s="9" t="s">
        <v>530</v>
      </c>
      <c r="F66" s="13" t="str">
        <f aca="false">IFERROR(AVERAGE(F28:F63),"")</f>
        <v/>
      </c>
    </row>
    <row r="67" customFormat="false" ht="15" hidden="false" customHeight="true" outlineLevel="0" collapsed="false">
      <c r="C67" s="3" t="s">
        <v>531</v>
      </c>
    </row>
    <row r="68" customFormat="false" ht="15" hidden="false" customHeight="true" outlineLevel="0" collapsed="false">
      <c r="C68" s="3" t="s">
        <v>532</v>
      </c>
    </row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27:I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D6" activeCellId="0" sqref="D6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2"/>
    <col collapsed="false" customWidth="true" hidden="false" outlineLevel="0" max="3" min="3" style="1" width="20"/>
    <col collapsed="false" customWidth="true" hidden="false" outlineLevel="0" max="20" min="4" style="1" width="4.14"/>
    <col collapsed="false" customWidth="true" hidden="false" outlineLevel="0" max="22" min="21" style="1" width="9"/>
    <col collapsed="false" customWidth="true" hidden="false" outlineLevel="0" max="23" min="23" style="1" width="8"/>
    <col collapsed="false" customWidth="true" hidden="false" outlineLevel="0" max="24" min="24" style="1" width="60"/>
    <col collapsed="false" customWidth="true" hidden="false" outlineLevel="0" max="26" min="25" style="1" width="8.71"/>
  </cols>
  <sheetData>
    <row r="1" customFormat="false" ht="15.75" hidden="false" customHeight="true" outlineLevel="0" collapsed="false">
      <c r="A1" s="2" t="s">
        <v>533</v>
      </c>
    </row>
    <row r="2" customFormat="false" ht="27.75" hidden="false" customHeight="true" outlineLevel="0" collapsed="false">
      <c r="A2" s="20" t="s">
        <v>534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customFormat="false" ht="15" hidden="false" customHeight="true" outlineLevel="0" collapsed="false"/>
    <row r="4" customFormat="false" ht="32.25" hidden="false" customHeight="true" outlineLevel="0" collapsed="false">
      <c r="A4" s="21" t="s">
        <v>64</v>
      </c>
      <c r="B4" s="21" t="s">
        <v>379</v>
      </c>
      <c r="C4" s="21" t="s">
        <v>535</v>
      </c>
      <c r="D4" s="21" t="s">
        <v>46</v>
      </c>
      <c r="E4" s="21" t="s">
        <v>47</v>
      </c>
      <c r="F4" s="21" t="s">
        <v>48</v>
      </c>
      <c r="G4" s="21" t="s">
        <v>49</v>
      </c>
      <c r="H4" s="21" t="s">
        <v>50</v>
      </c>
      <c r="I4" s="21" t="s">
        <v>51</v>
      </c>
      <c r="J4" s="21" t="s">
        <v>52</v>
      </c>
      <c r="K4" s="21" t="s">
        <v>53</v>
      </c>
      <c r="L4" s="21" t="s">
        <v>54</v>
      </c>
      <c r="M4" s="21" t="s">
        <v>55</v>
      </c>
      <c r="N4" s="21" t="s">
        <v>56</v>
      </c>
      <c r="O4" s="21" t="s">
        <v>57</v>
      </c>
      <c r="P4" s="21" t="s">
        <v>58</v>
      </c>
      <c r="Q4" s="21" t="s">
        <v>59</v>
      </c>
      <c r="R4" s="21" t="s">
        <v>60</v>
      </c>
      <c r="S4" s="21" t="s">
        <v>61</v>
      </c>
      <c r="T4" s="21" t="s">
        <v>62</v>
      </c>
      <c r="U4" s="21" t="s">
        <v>536</v>
      </c>
      <c r="V4" s="21" t="s">
        <v>537</v>
      </c>
      <c r="W4" s="21" t="s">
        <v>61</v>
      </c>
      <c r="X4" s="21" t="s">
        <v>538</v>
      </c>
    </row>
    <row r="5" customFormat="false" ht="94.5" hidden="false" customHeight="true" outlineLevel="0" collapsed="false">
      <c r="D5" s="22" t="s">
        <v>539</v>
      </c>
      <c r="E5" s="22" t="s">
        <v>540</v>
      </c>
      <c r="F5" s="22" t="s">
        <v>541</v>
      </c>
      <c r="G5" s="22" t="s">
        <v>542</v>
      </c>
      <c r="H5" s="22" t="s">
        <v>543</v>
      </c>
      <c r="I5" s="22" t="s">
        <v>544</v>
      </c>
      <c r="J5" s="22" t="s">
        <v>545</v>
      </c>
      <c r="K5" s="22" t="s">
        <v>546</v>
      </c>
      <c r="L5" s="22" t="s">
        <v>547</v>
      </c>
      <c r="M5" s="22" t="s">
        <v>548</v>
      </c>
      <c r="N5" s="22" t="s">
        <v>549</v>
      </c>
      <c r="O5" s="22" t="s">
        <v>550</v>
      </c>
      <c r="P5" s="22" t="s">
        <v>551</v>
      </c>
      <c r="Q5" s="22" t="s">
        <v>552</v>
      </c>
      <c r="R5" s="22" t="s">
        <v>553</v>
      </c>
      <c r="S5" s="22" t="s">
        <v>554</v>
      </c>
      <c r="T5" s="22" t="s">
        <v>555</v>
      </c>
    </row>
    <row r="6" customFormat="false" ht="36" hidden="false" customHeight="true" outlineLevel="0" collapsed="false">
      <c r="A6" s="23" t="s">
        <v>65</v>
      </c>
      <c r="B6" s="23" t="s">
        <v>556</v>
      </c>
      <c r="C6" s="23" t="s">
        <v>557</v>
      </c>
      <c r="D6" s="24" t="n">
        <v>2</v>
      </c>
      <c r="E6" s="24" t="n">
        <v>2</v>
      </c>
      <c r="F6" s="24" t="n">
        <v>2</v>
      </c>
      <c r="G6" s="24" t="n">
        <v>2</v>
      </c>
      <c r="H6" s="24" t="n">
        <v>2</v>
      </c>
      <c r="I6" s="24" t="n">
        <v>2</v>
      </c>
      <c r="J6" s="24" t="n">
        <v>2</v>
      </c>
      <c r="K6" s="24" t="n">
        <v>2</v>
      </c>
      <c r="L6" s="24" t="n">
        <v>2</v>
      </c>
      <c r="M6" s="24" t="n">
        <v>2</v>
      </c>
      <c r="N6" s="24" t="n">
        <v>2</v>
      </c>
      <c r="O6" s="24" t="n">
        <v>2</v>
      </c>
      <c r="P6" s="24" t="n">
        <v>2</v>
      </c>
      <c r="Q6" s="24" t="n">
        <v>2</v>
      </c>
      <c r="R6" s="24" t="n">
        <v>2</v>
      </c>
      <c r="S6" s="24" t="n">
        <v>2</v>
      </c>
      <c r="T6" s="24" t="n">
        <v>2</v>
      </c>
      <c r="U6" s="25" t="n">
        <f aca="false">COUNTIF(D6:T6,2)</f>
        <v>17</v>
      </c>
      <c r="V6" s="25" t="n">
        <f aca="false">COUNTIF(D6:T6,"&gt;=1")</f>
        <v>17</v>
      </c>
      <c r="W6" s="25" t="str">
        <f aca="false">IF(S6&gt;=1,"Sí","No")</f>
        <v>Sí</v>
      </c>
      <c r="X6" s="23" t="s">
        <v>558</v>
      </c>
    </row>
    <row r="7" customFormat="false" ht="36" hidden="false" customHeight="true" outlineLevel="0" collapsed="false">
      <c r="A7" s="23" t="s">
        <v>66</v>
      </c>
      <c r="B7" s="23" t="s">
        <v>559</v>
      </c>
      <c r="C7" s="23" t="s">
        <v>560</v>
      </c>
      <c r="D7" s="26" t="n">
        <v>0</v>
      </c>
      <c r="E7" s="26" t="n">
        <v>0</v>
      </c>
      <c r="F7" s="26" t="n">
        <v>0</v>
      </c>
      <c r="G7" s="26" t="n">
        <v>0</v>
      </c>
      <c r="H7" s="26" t="n">
        <v>0</v>
      </c>
      <c r="I7" s="26" t="n">
        <v>0</v>
      </c>
      <c r="J7" s="26" t="n">
        <v>0</v>
      </c>
      <c r="K7" s="26" t="n">
        <v>0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6" t="n">
        <v>0</v>
      </c>
      <c r="S7" s="26" t="n">
        <v>0</v>
      </c>
      <c r="T7" s="26" t="n">
        <v>0</v>
      </c>
      <c r="U7" s="25" t="n">
        <f aca="false">COUNTIF(D7:T7,2)</f>
        <v>0</v>
      </c>
      <c r="V7" s="25" t="n">
        <f aca="false">COUNTIF(D7:T7,"&gt;=1")</f>
        <v>0</v>
      </c>
      <c r="W7" s="25" t="str">
        <f aca="false">IF(S7&gt;=1,"Sí","No")</f>
        <v>No</v>
      </c>
      <c r="X7" s="23" t="s">
        <v>561</v>
      </c>
    </row>
    <row r="8" customFormat="false" ht="36" hidden="false" customHeight="true" outlineLevel="0" collapsed="false">
      <c r="A8" s="23" t="s">
        <v>67</v>
      </c>
      <c r="B8" s="23" t="s">
        <v>562</v>
      </c>
      <c r="C8" s="23" t="s">
        <v>560</v>
      </c>
      <c r="D8" s="26" t="n">
        <v>0</v>
      </c>
      <c r="E8" s="26" t="n">
        <v>0</v>
      </c>
      <c r="F8" s="26" t="n">
        <v>0</v>
      </c>
      <c r="G8" s="26" t="n">
        <v>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5" t="n">
        <f aca="false">COUNTIF(D8:T8,2)</f>
        <v>0</v>
      </c>
      <c r="V8" s="25" t="n">
        <f aca="false">COUNTIF(D8:T8,"&gt;=1")</f>
        <v>0</v>
      </c>
      <c r="W8" s="25" t="str">
        <f aca="false">IF(S8&gt;=1,"Sí","No")</f>
        <v>No</v>
      </c>
      <c r="X8" s="23" t="s">
        <v>563</v>
      </c>
    </row>
    <row r="9" customFormat="false" ht="36" hidden="false" customHeight="true" outlineLevel="0" collapsed="false">
      <c r="A9" s="23" t="s">
        <v>68</v>
      </c>
      <c r="B9" s="23" t="s">
        <v>315</v>
      </c>
      <c r="C9" s="23" t="s">
        <v>564</v>
      </c>
      <c r="D9" s="26" t="n">
        <v>0</v>
      </c>
      <c r="E9" s="26" t="n">
        <v>0</v>
      </c>
      <c r="F9" s="26" t="n">
        <v>0</v>
      </c>
      <c r="G9" s="26" t="n">
        <v>0</v>
      </c>
      <c r="H9" s="26" t="n">
        <v>0</v>
      </c>
      <c r="I9" s="26" t="n">
        <v>0</v>
      </c>
      <c r="J9" s="26" t="n">
        <v>0</v>
      </c>
      <c r="K9" s="26" t="n">
        <v>0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6" t="n">
        <v>0</v>
      </c>
      <c r="S9" s="26" t="n">
        <v>0</v>
      </c>
      <c r="T9" s="26" t="n">
        <v>0</v>
      </c>
      <c r="U9" s="25" t="n">
        <f aca="false">COUNTIF(D9:T9,2)</f>
        <v>0</v>
      </c>
      <c r="V9" s="25" t="n">
        <f aca="false">COUNTIF(D9:T9,"&gt;=1")</f>
        <v>0</v>
      </c>
      <c r="W9" s="25" t="str">
        <f aca="false">IF(S9&gt;=1,"Sí","No")</f>
        <v>No</v>
      </c>
      <c r="X9" s="23" t="s">
        <v>565</v>
      </c>
    </row>
    <row r="10" customFormat="false" ht="36" hidden="false" customHeight="true" outlineLevel="0" collapsed="false">
      <c r="A10" s="23" t="s">
        <v>69</v>
      </c>
      <c r="B10" s="23" t="s">
        <v>566</v>
      </c>
      <c r="C10" s="23" t="s">
        <v>557</v>
      </c>
      <c r="D10" s="26" t="n">
        <v>0</v>
      </c>
      <c r="E10" s="26" t="n">
        <v>2</v>
      </c>
      <c r="F10" s="26" t="n">
        <v>2</v>
      </c>
      <c r="G10" s="26" t="n">
        <v>2</v>
      </c>
      <c r="H10" s="26" t="n">
        <v>0</v>
      </c>
      <c r="I10" s="26" t="n">
        <v>2</v>
      </c>
      <c r="J10" s="26" t="n">
        <v>2</v>
      </c>
      <c r="K10" s="26" t="n">
        <v>2</v>
      </c>
      <c r="L10" s="26" t="n">
        <v>0</v>
      </c>
      <c r="M10" s="26" t="n">
        <v>0</v>
      </c>
      <c r="N10" s="26" t="n">
        <v>2</v>
      </c>
      <c r="O10" s="26" t="n">
        <v>2</v>
      </c>
      <c r="P10" s="26" t="n">
        <v>0</v>
      </c>
      <c r="Q10" s="26" t="n">
        <v>0</v>
      </c>
      <c r="R10" s="26" t="n">
        <v>2</v>
      </c>
      <c r="S10" s="26" t="n">
        <v>0</v>
      </c>
      <c r="T10" s="26" t="n">
        <v>0</v>
      </c>
      <c r="U10" s="25" t="n">
        <f aca="false">COUNTIF(D10:T10,2)</f>
        <v>9</v>
      </c>
      <c r="V10" s="25" t="n">
        <f aca="false">COUNTIF(D10:T10,"&gt;=1")</f>
        <v>9</v>
      </c>
      <c r="W10" s="25" t="str">
        <f aca="false">IF(S10&gt;=1,"Sí","No")</f>
        <v>No</v>
      </c>
      <c r="X10" s="23" t="s">
        <v>567</v>
      </c>
    </row>
    <row r="11" customFormat="false" ht="36" hidden="false" customHeight="true" outlineLevel="0" collapsed="false">
      <c r="A11" s="23" t="s">
        <v>70</v>
      </c>
      <c r="B11" s="23" t="s">
        <v>568</v>
      </c>
      <c r="C11" s="23" t="s">
        <v>557</v>
      </c>
      <c r="D11" s="26" t="n">
        <v>2</v>
      </c>
      <c r="E11" s="26" t="n">
        <v>2</v>
      </c>
      <c r="F11" s="26" t="n">
        <v>2</v>
      </c>
      <c r="G11" s="26" t="n">
        <v>2</v>
      </c>
      <c r="H11" s="26" t="n">
        <v>2</v>
      </c>
      <c r="I11" s="26" t="n">
        <v>2</v>
      </c>
      <c r="J11" s="26" t="n">
        <v>2</v>
      </c>
      <c r="K11" s="26" t="n">
        <v>2</v>
      </c>
      <c r="L11" s="26" t="n">
        <v>2</v>
      </c>
      <c r="M11" s="26" t="n">
        <v>2</v>
      </c>
      <c r="N11" s="26" t="n">
        <v>2</v>
      </c>
      <c r="O11" s="26" t="n">
        <v>2</v>
      </c>
      <c r="P11" s="26" t="n">
        <v>2</v>
      </c>
      <c r="Q11" s="26" t="n">
        <v>2</v>
      </c>
      <c r="R11" s="26" t="n">
        <v>2</v>
      </c>
      <c r="S11" s="26" t="n">
        <v>2</v>
      </c>
      <c r="T11" s="26" t="n">
        <v>2</v>
      </c>
      <c r="U11" s="25" t="n">
        <f aca="false">COUNTIF(D11:T11,2)</f>
        <v>17</v>
      </c>
      <c r="V11" s="25" t="n">
        <f aca="false">COUNTIF(D11:T11,"&gt;=1")</f>
        <v>17</v>
      </c>
      <c r="W11" s="25" t="str">
        <f aca="false">IF(S11&gt;=1,"Sí","No")</f>
        <v>Sí</v>
      </c>
      <c r="X11" s="23" t="s">
        <v>569</v>
      </c>
    </row>
    <row r="12" customFormat="false" ht="36" hidden="false" customHeight="true" outlineLevel="0" collapsed="false">
      <c r="A12" s="23" t="s">
        <v>71</v>
      </c>
      <c r="B12" s="23" t="s">
        <v>339</v>
      </c>
      <c r="C12" s="23" t="s">
        <v>557</v>
      </c>
      <c r="D12" s="26" t="n">
        <v>0</v>
      </c>
      <c r="E12" s="26" t="n">
        <v>0</v>
      </c>
      <c r="F12" s="26" t="n">
        <v>2</v>
      </c>
      <c r="G12" s="26" t="n">
        <v>2</v>
      </c>
      <c r="H12" s="26" t="n">
        <v>2</v>
      </c>
      <c r="I12" s="26" t="n">
        <v>2</v>
      </c>
      <c r="J12" s="26" t="n">
        <v>2</v>
      </c>
      <c r="K12" s="26" t="n">
        <v>2</v>
      </c>
      <c r="L12" s="26" t="n">
        <v>2</v>
      </c>
      <c r="M12" s="26" t="n">
        <v>2</v>
      </c>
      <c r="N12" s="26" t="n">
        <v>2</v>
      </c>
      <c r="O12" s="26" t="n">
        <v>2</v>
      </c>
      <c r="P12" s="26" t="n">
        <v>2</v>
      </c>
      <c r="Q12" s="26" t="n">
        <v>2</v>
      </c>
      <c r="R12" s="26" t="n">
        <v>2</v>
      </c>
      <c r="S12" s="26" t="n">
        <v>2</v>
      </c>
      <c r="T12" s="26" t="n">
        <v>2</v>
      </c>
      <c r="U12" s="25" t="n">
        <f aca="false">COUNTIF(D12:T12,2)</f>
        <v>15</v>
      </c>
      <c r="V12" s="25" t="n">
        <f aca="false">COUNTIF(D12:T12,"&gt;=1")</f>
        <v>15</v>
      </c>
      <c r="W12" s="25" t="str">
        <f aca="false">IF(S12&gt;=1,"Sí","No")</f>
        <v>Sí</v>
      </c>
      <c r="X12" s="23" t="s">
        <v>570</v>
      </c>
    </row>
    <row r="13" customFormat="false" ht="36" hidden="false" customHeight="true" outlineLevel="0" collapsed="false">
      <c r="A13" s="23" t="s">
        <v>72</v>
      </c>
      <c r="B13" s="23" t="s">
        <v>571</v>
      </c>
      <c r="C13" s="23" t="s">
        <v>560</v>
      </c>
      <c r="D13" s="24" t="n">
        <v>0</v>
      </c>
      <c r="E13" s="24" t="n">
        <v>0</v>
      </c>
      <c r="F13" s="24" t="n">
        <v>0</v>
      </c>
      <c r="G13" s="24" t="n">
        <v>0</v>
      </c>
      <c r="H13" s="24" t="n">
        <v>0</v>
      </c>
      <c r="I13" s="24" t="n">
        <v>0</v>
      </c>
      <c r="J13" s="24" t="n">
        <v>0</v>
      </c>
      <c r="K13" s="24" t="n">
        <v>0</v>
      </c>
      <c r="L13" s="24" t="n">
        <v>0</v>
      </c>
      <c r="M13" s="24" t="n">
        <v>0</v>
      </c>
      <c r="N13" s="24" t="n">
        <v>0</v>
      </c>
      <c r="O13" s="24" t="n">
        <v>0</v>
      </c>
      <c r="P13" s="24" t="n">
        <v>0</v>
      </c>
      <c r="Q13" s="24" t="n">
        <v>0</v>
      </c>
      <c r="R13" s="24" t="n">
        <v>0</v>
      </c>
      <c r="S13" s="24" t="n">
        <v>0</v>
      </c>
      <c r="T13" s="24" t="n">
        <v>0</v>
      </c>
      <c r="U13" s="25" t="n">
        <f aca="false">COUNTIF(D13:T13,2)</f>
        <v>0</v>
      </c>
      <c r="V13" s="25" t="n">
        <f aca="false">COUNTIF(D13:T13,"&gt;=1")</f>
        <v>0</v>
      </c>
      <c r="W13" s="25" t="str">
        <f aca="false">IF(S13&gt;=1,"Sí","No")</f>
        <v>No</v>
      </c>
      <c r="X13" s="23" t="s">
        <v>572</v>
      </c>
    </row>
    <row r="14" customFormat="false" ht="36" hidden="false" customHeight="true" outlineLevel="0" collapsed="false">
      <c r="A14" s="23" t="s">
        <v>73</v>
      </c>
      <c r="B14" s="23" t="s">
        <v>573</v>
      </c>
      <c r="C14" s="23" t="s">
        <v>574</v>
      </c>
      <c r="D14" s="26" t="n">
        <v>0</v>
      </c>
      <c r="E14" s="26" t="n">
        <v>0</v>
      </c>
      <c r="F14" s="26" t="n">
        <v>0</v>
      </c>
      <c r="G14" s="26" t="n">
        <v>1</v>
      </c>
      <c r="H14" s="26" t="n">
        <v>2</v>
      </c>
      <c r="I14" s="26" t="n">
        <v>0</v>
      </c>
      <c r="J14" s="26" t="n">
        <v>0</v>
      </c>
      <c r="K14" s="26" t="n">
        <v>1</v>
      </c>
      <c r="L14" s="26" t="n">
        <v>0</v>
      </c>
      <c r="M14" s="26" t="n">
        <v>1</v>
      </c>
      <c r="N14" s="26" t="n">
        <v>1</v>
      </c>
      <c r="O14" s="26" t="n">
        <v>1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5" t="n">
        <f aca="false">COUNTIF(D14:T14,2)</f>
        <v>1</v>
      </c>
      <c r="V14" s="25" t="n">
        <f aca="false">COUNTIF(D14:T14,"&gt;=1")</f>
        <v>6</v>
      </c>
      <c r="W14" s="25" t="str">
        <f aca="false">IF(S14&gt;=1,"Sí","No")</f>
        <v>No</v>
      </c>
      <c r="X14" s="23" t="s">
        <v>575</v>
      </c>
    </row>
    <row r="15" customFormat="false" ht="36" hidden="false" customHeight="true" outlineLevel="0" collapsed="false">
      <c r="A15" s="23" t="s">
        <v>74</v>
      </c>
      <c r="B15" s="23" t="s">
        <v>576</v>
      </c>
      <c r="C15" s="23" t="s">
        <v>560</v>
      </c>
      <c r="D15" s="26" t="n">
        <v>0</v>
      </c>
      <c r="E15" s="26" t="n">
        <v>0</v>
      </c>
      <c r="F15" s="26" t="n">
        <v>0</v>
      </c>
      <c r="G15" s="26" t="n">
        <v>0</v>
      </c>
      <c r="H15" s="26" t="n">
        <v>0</v>
      </c>
      <c r="I15" s="26" t="n">
        <v>0</v>
      </c>
      <c r="J15" s="26" t="n">
        <v>0</v>
      </c>
      <c r="K15" s="26" t="n">
        <v>0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5" t="n">
        <f aca="false">COUNTIF(D15:T15,2)</f>
        <v>0</v>
      </c>
      <c r="V15" s="25" t="n">
        <f aca="false">COUNTIF(D15:T15,"&gt;=1")</f>
        <v>0</v>
      </c>
      <c r="W15" s="25" t="str">
        <f aca="false">IF(S15&gt;=1,"Sí","No")</f>
        <v>No</v>
      </c>
      <c r="X15" s="23" t="s">
        <v>577</v>
      </c>
    </row>
    <row r="16" customFormat="false" ht="36" hidden="false" customHeight="true" outlineLevel="0" collapsed="false">
      <c r="A16" s="23" t="s">
        <v>75</v>
      </c>
      <c r="B16" s="23" t="s">
        <v>578</v>
      </c>
      <c r="C16" s="23" t="s">
        <v>560</v>
      </c>
      <c r="D16" s="26" t="n">
        <v>0</v>
      </c>
      <c r="E16" s="26" t="n">
        <v>0</v>
      </c>
      <c r="F16" s="26" t="n">
        <v>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5" t="n">
        <f aca="false">COUNTIF(D16:T16,2)</f>
        <v>0</v>
      </c>
      <c r="V16" s="25" t="n">
        <f aca="false">COUNTIF(D16:T16,"&gt;=1")</f>
        <v>0</v>
      </c>
      <c r="W16" s="25" t="str">
        <f aca="false">IF(S16&gt;=1,"Sí","No")</f>
        <v>No</v>
      </c>
      <c r="X16" s="23" t="s">
        <v>579</v>
      </c>
    </row>
    <row r="17" customFormat="false" ht="36" hidden="false" customHeight="true" outlineLevel="0" collapsed="false">
      <c r="A17" s="23" t="s">
        <v>76</v>
      </c>
      <c r="B17" s="23" t="s">
        <v>580</v>
      </c>
      <c r="C17" s="23" t="s">
        <v>557</v>
      </c>
      <c r="D17" s="26" t="n">
        <v>2</v>
      </c>
      <c r="E17" s="26" t="n">
        <v>2</v>
      </c>
      <c r="F17" s="26" t="n">
        <v>2</v>
      </c>
      <c r="G17" s="26" t="n">
        <v>2</v>
      </c>
      <c r="H17" s="26" t="n">
        <v>2</v>
      </c>
      <c r="I17" s="26" t="n">
        <v>2</v>
      </c>
      <c r="J17" s="26" t="n">
        <v>2</v>
      </c>
      <c r="K17" s="26" t="n">
        <v>2</v>
      </c>
      <c r="L17" s="26" t="n">
        <v>2</v>
      </c>
      <c r="M17" s="26" t="n">
        <v>2</v>
      </c>
      <c r="N17" s="26" t="n">
        <v>2</v>
      </c>
      <c r="O17" s="26" t="n">
        <v>2</v>
      </c>
      <c r="P17" s="26" t="n">
        <v>2</v>
      </c>
      <c r="Q17" s="26" t="n">
        <v>2</v>
      </c>
      <c r="R17" s="26" t="n">
        <v>2</v>
      </c>
      <c r="S17" s="26" t="n">
        <v>2</v>
      </c>
      <c r="T17" s="26" t="n">
        <v>2</v>
      </c>
      <c r="U17" s="25" t="n">
        <f aca="false">COUNTIF(D17:T17,2)</f>
        <v>17</v>
      </c>
      <c r="V17" s="25" t="n">
        <f aca="false">COUNTIF(D17:T17,"&gt;=1")</f>
        <v>17</v>
      </c>
      <c r="W17" s="25" t="str">
        <f aca="false">IF(S17&gt;=1,"Sí","No")</f>
        <v>Sí</v>
      </c>
      <c r="X17" s="23" t="s">
        <v>581</v>
      </c>
    </row>
    <row r="18" customFormat="false" ht="36" hidden="false" customHeight="true" outlineLevel="0" collapsed="false">
      <c r="A18" s="23" t="s">
        <v>77</v>
      </c>
      <c r="B18" s="23" t="s">
        <v>582</v>
      </c>
      <c r="C18" s="23" t="s">
        <v>564</v>
      </c>
      <c r="D18" s="24" t="n">
        <v>0</v>
      </c>
      <c r="E18" s="24" t="n">
        <v>0</v>
      </c>
      <c r="F18" s="24" t="n">
        <v>0</v>
      </c>
      <c r="G18" s="24" t="n">
        <v>0</v>
      </c>
      <c r="H18" s="24" t="n">
        <v>0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0</v>
      </c>
      <c r="N18" s="24" t="n">
        <v>0</v>
      </c>
      <c r="O18" s="24" t="n">
        <v>0</v>
      </c>
      <c r="P18" s="24" t="n">
        <v>0</v>
      </c>
      <c r="Q18" s="24" t="n">
        <v>0</v>
      </c>
      <c r="R18" s="24" t="n">
        <v>0</v>
      </c>
      <c r="S18" s="24" t="n">
        <v>0</v>
      </c>
      <c r="T18" s="24" t="n">
        <v>0</v>
      </c>
      <c r="U18" s="25" t="n">
        <f aca="false">COUNTIF(D18:T18,2)</f>
        <v>0</v>
      </c>
      <c r="V18" s="25" t="n">
        <f aca="false">COUNTIF(D18:T18,"&gt;=1")</f>
        <v>0</v>
      </c>
      <c r="W18" s="25" t="str">
        <f aca="false">IF(S18&gt;=1,"Sí","No")</f>
        <v>No</v>
      </c>
      <c r="X18" s="23" t="s">
        <v>583</v>
      </c>
    </row>
    <row r="19" customFormat="false" ht="36" hidden="false" customHeight="true" outlineLevel="0" collapsed="false">
      <c r="A19" s="23" t="s">
        <v>78</v>
      </c>
      <c r="B19" s="23" t="s">
        <v>584</v>
      </c>
      <c r="C19" s="23" t="s">
        <v>564</v>
      </c>
      <c r="D19" s="26" t="n">
        <v>0</v>
      </c>
      <c r="E19" s="26" t="n">
        <v>0</v>
      </c>
      <c r="F19" s="26" t="n">
        <v>0</v>
      </c>
      <c r="G19" s="26" t="n">
        <v>0</v>
      </c>
      <c r="H19" s="26" t="n">
        <v>0</v>
      </c>
      <c r="I19" s="26" t="n">
        <v>0</v>
      </c>
      <c r="J19" s="26" t="n">
        <v>0</v>
      </c>
      <c r="K19" s="26" t="n">
        <v>0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6" t="n">
        <v>0</v>
      </c>
      <c r="S19" s="26" t="n">
        <v>0</v>
      </c>
      <c r="T19" s="26" t="n">
        <v>0</v>
      </c>
      <c r="U19" s="25" t="n">
        <f aca="false">COUNTIF(D19:T19,2)</f>
        <v>0</v>
      </c>
      <c r="V19" s="25" t="n">
        <f aca="false">COUNTIF(D19:T19,"&gt;=1")</f>
        <v>0</v>
      </c>
      <c r="W19" s="25" t="str">
        <f aca="false">IF(S19&gt;=1,"Sí","No")</f>
        <v>No</v>
      </c>
      <c r="X19" s="23" t="s">
        <v>585</v>
      </c>
    </row>
    <row r="20" customFormat="false" ht="36" hidden="false" customHeight="true" outlineLevel="0" collapsed="false">
      <c r="A20" s="23" t="s">
        <v>79</v>
      </c>
      <c r="B20" s="23" t="s">
        <v>586</v>
      </c>
      <c r="C20" s="23" t="s">
        <v>560</v>
      </c>
      <c r="D20" s="24" t="n">
        <v>0</v>
      </c>
      <c r="E20" s="24" t="n">
        <v>0</v>
      </c>
      <c r="F20" s="24" t="n">
        <v>0</v>
      </c>
      <c r="G20" s="24" t="n">
        <v>0</v>
      </c>
      <c r="H20" s="24" t="n">
        <v>0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0</v>
      </c>
      <c r="N20" s="24" t="n">
        <v>0</v>
      </c>
      <c r="O20" s="24" t="n">
        <v>0</v>
      </c>
      <c r="P20" s="24" t="n">
        <v>0</v>
      </c>
      <c r="Q20" s="24" t="n">
        <v>0</v>
      </c>
      <c r="R20" s="24" t="n">
        <v>0</v>
      </c>
      <c r="S20" s="24" t="n">
        <v>0</v>
      </c>
      <c r="T20" s="24" t="n">
        <v>0</v>
      </c>
      <c r="U20" s="25" t="n">
        <f aca="false">COUNTIF(D20:T20,2)</f>
        <v>0</v>
      </c>
      <c r="V20" s="25" t="n">
        <f aca="false">COUNTIF(D20:T20,"&gt;=1")</f>
        <v>0</v>
      </c>
      <c r="W20" s="25" t="str">
        <f aca="false">IF(S20&gt;=1,"Sí","No")</f>
        <v>No</v>
      </c>
      <c r="X20" s="23" t="s">
        <v>572</v>
      </c>
    </row>
    <row r="21" customFormat="false" ht="36" hidden="false" customHeight="true" outlineLevel="0" collapsed="false">
      <c r="A21" s="23" t="s">
        <v>80</v>
      </c>
      <c r="B21" s="23" t="s">
        <v>587</v>
      </c>
      <c r="C21" s="23" t="s">
        <v>588</v>
      </c>
      <c r="D21" s="26" t="n">
        <v>2</v>
      </c>
      <c r="E21" s="26" t="n">
        <v>2</v>
      </c>
      <c r="F21" s="26" t="n">
        <v>2</v>
      </c>
      <c r="G21" s="26" t="n">
        <v>2</v>
      </c>
      <c r="H21" s="26" t="n">
        <v>2</v>
      </c>
      <c r="I21" s="26" t="n">
        <v>2</v>
      </c>
      <c r="J21" s="26" t="n">
        <v>2</v>
      </c>
      <c r="K21" s="26" t="n">
        <v>2</v>
      </c>
      <c r="L21" s="26" t="n">
        <v>2</v>
      </c>
      <c r="M21" s="26" t="n">
        <v>2</v>
      </c>
      <c r="N21" s="26" t="n">
        <v>2</v>
      </c>
      <c r="O21" s="26" t="n">
        <v>2</v>
      </c>
      <c r="P21" s="26" t="n">
        <v>2</v>
      </c>
      <c r="Q21" s="26" t="n">
        <v>2</v>
      </c>
      <c r="R21" s="26" t="n">
        <v>2</v>
      </c>
      <c r="S21" s="26" t="n">
        <v>2</v>
      </c>
      <c r="T21" s="26" t="n">
        <v>2</v>
      </c>
      <c r="U21" s="25" t="n">
        <f aca="false">COUNTIF(D21:T21,2)</f>
        <v>17</v>
      </c>
      <c r="V21" s="25" t="n">
        <f aca="false">COUNTIF(D21:T21,"&gt;=1")</f>
        <v>17</v>
      </c>
      <c r="W21" s="25" t="str">
        <f aca="false">IF(S21&gt;=1,"Sí","No")</f>
        <v>Sí</v>
      </c>
      <c r="X21" s="23" t="s">
        <v>589</v>
      </c>
    </row>
    <row r="22" customFormat="false" ht="15" hidden="false" customHeight="true" outlineLevel="0" collapsed="false">
      <c r="A22" s="27" t="s">
        <v>590</v>
      </c>
      <c r="B22" s="27"/>
      <c r="C22" s="27"/>
      <c r="D22" s="28" t="n">
        <f aca="false">COUNTIF(D6:D21,"&gt;=1")</f>
        <v>4</v>
      </c>
      <c r="E22" s="28" t="n">
        <f aca="false">COUNTIF(E6:E21,"&gt;=1")</f>
        <v>5</v>
      </c>
      <c r="F22" s="28" t="n">
        <f aca="false">COUNTIF(F6:F21,"&gt;=1")</f>
        <v>6</v>
      </c>
      <c r="G22" s="28" t="n">
        <f aca="false">COUNTIF(G6:G21,"&gt;=1")</f>
        <v>7</v>
      </c>
      <c r="H22" s="28" t="n">
        <f aca="false">COUNTIF(H6:H21,"&gt;=1")</f>
        <v>6</v>
      </c>
      <c r="I22" s="28" t="n">
        <f aca="false">COUNTIF(I6:I21,"&gt;=1")</f>
        <v>6</v>
      </c>
      <c r="J22" s="28" t="n">
        <f aca="false">COUNTIF(J6:J21,"&gt;=1")</f>
        <v>6</v>
      </c>
      <c r="K22" s="28" t="n">
        <f aca="false">COUNTIF(K6:K21,"&gt;=1")</f>
        <v>7</v>
      </c>
      <c r="L22" s="28" t="n">
        <f aca="false">COUNTIF(L6:L21,"&gt;=1")</f>
        <v>5</v>
      </c>
      <c r="M22" s="28" t="n">
        <f aca="false">COUNTIF(M6:M21,"&gt;=1")</f>
        <v>6</v>
      </c>
      <c r="N22" s="28" t="n">
        <f aca="false">COUNTIF(N6:N21,"&gt;=1")</f>
        <v>7</v>
      </c>
      <c r="O22" s="28" t="n">
        <f aca="false">COUNTIF(O6:O21,"&gt;=1")</f>
        <v>7</v>
      </c>
      <c r="P22" s="28" t="n">
        <f aca="false">COUNTIF(P6:P21,"&gt;=1")</f>
        <v>5</v>
      </c>
      <c r="Q22" s="28" t="n">
        <f aca="false">COUNTIF(Q6:Q21,"&gt;=1")</f>
        <v>5</v>
      </c>
      <c r="R22" s="28" t="n">
        <f aca="false">COUNTIF(R6:R21,"&gt;=1")</f>
        <v>6</v>
      </c>
      <c r="S22" s="28" t="n">
        <f aca="false">COUNTIF(S6:S21,"&gt;=1")</f>
        <v>5</v>
      </c>
      <c r="T22" s="28" t="n">
        <f aca="false">COUNTIF(T6:T21,"&gt;=1")</f>
        <v>5</v>
      </c>
    </row>
    <row r="23" customFormat="false" ht="15" hidden="false" customHeight="true" outlineLevel="0" collapsed="false">
      <c r="A23" s="27" t="s">
        <v>591</v>
      </c>
      <c r="B23" s="27"/>
      <c r="C23" s="27"/>
      <c r="D23" s="28" t="n">
        <f aca="false">COUNTIF(D6:D21,2)</f>
        <v>4</v>
      </c>
      <c r="E23" s="28" t="n">
        <f aca="false">COUNTIF(E6:E21,2)</f>
        <v>5</v>
      </c>
      <c r="F23" s="28" t="n">
        <f aca="false">COUNTIF(F6:F21,2)</f>
        <v>6</v>
      </c>
      <c r="G23" s="28" t="n">
        <f aca="false">COUNTIF(G6:G21,2)</f>
        <v>6</v>
      </c>
      <c r="H23" s="28" t="n">
        <f aca="false">COUNTIF(H6:H21,2)</f>
        <v>6</v>
      </c>
      <c r="I23" s="28" t="n">
        <f aca="false">COUNTIF(I6:I21,2)</f>
        <v>6</v>
      </c>
      <c r="J23" s="28" t="n">
        <f aca="false">COUNTIF(J6:J21,2)</f>
        <v>6</v>
      </c>
      <c r="K23" s="28" t="n">
        <f aca="false">COUNTIF(K6:K21,2)</f>
        <v>6</v>
      </c>
      <c r="L23" s="28" t="n">
        <f aca="false">COUNTIF(L6:L21,2)</f>
        <v>5</v>
      </c>
      <c r="M23" s="28" t="n">
        <f aca="false">COUNTIF(M6:M21,2)</f>
        <v>5</v>
      </c>
      <c r="N23" s="28" t="n">
        <f aca="false">COUNTIF(N6:N21,2)</f>
        <v>6</v>
      </c>
      <c r="O23" s="28" t="n">
        <f aca="false">COUNTIF(O6:O21,2)</f>
        <v>6</v>
      </c>
      <c r="P23" s="28" t="n">
        <f aca="false">COUNTIF(P6:P21,2)</f>
        <v>5</v>
      </c>
      <c r="Q23" s="28" t="n">
        <f aca="false">COUNTIF(Q6:Q21,2)</f>
        <v>5</v>
      </c>
      <c r="R23" s="28" t="n">
        <f aca="false">COUNTIF(R6:R21,2)</f>
        <v>6</v>
      </c>
      <c r="S23" s="28" t="n">
        <f aca="false">COUNTIF(S6:S21,2)</f>
        <v>5</v>
      </c>
      <c r="T23" s="28" t="n">
        <f aca="false">COUNTIF(T6:T21,2)</f>
        <v>5</v>
      </c>
    </row>
    <row r="24" customFormat="false" ht="15.75" hidden="false" customHeight="true" outlineLevel="0" collapsed="false"/>
    <row r="25" customFormat="false" ht="30" hidden="false" customHeight="true" outlineLevel="0" collapsed="false">
      <c r="A25" s="23" t="s">
        <v>592</v>
      </c>
      <c r="B25" s="23"/>
      <c r="C25" s="23" t="s">
        <v>593</v>
      </c>
      <c r="D25" s="26" t="n">
        <v>0</v>
      </c>
      <c r="E25" s="26" t="n">
        <v>0</v>
      </c>
      <c r="F25" s="26" t="n">
        <v>0</v>
      </c>
      <c r="G25" s="26" t="n">
        <v>0</v>
      </c>
      <c r="H25" s="26" t="n">
        <v>0</v>
      </c>
      <c r="I25" s="26" t="n">
        <v>1</v>
      </c>
      <c r="J25" s="26" t="n">
        <v>0</v>
      </c>
      <c r="K25" s="26" t="n">
        <v>0</v>
      </c>
      <c r="L25" s="26" t="n">
        <v>0</v>
      </c>
      <c r="M25" s="26" t="n">
        <v>0</v>
      </c>
      <c r="N25" s="26" t="n">
        <v>1</v>
      </c>
      <c r="O25" s="26" t="n">
        <v>0</v>
      </c>
      <c r="P25" s="26" t="n">
        <v>0</v>
      </c>
      <c r="Q25" s="26" t="n">
        <v>0</v>
      </c>
      <c r="R25" s="26" t="n">
        <v>0</v>
      </c>
      <c r="S25" s="26" t="n">
        <v>0</v>
      </c>
      <c r="T25" s="26" t="n">
        <v>0</v>
      </c>
      <c r="V25" s="29" t="n">
        <f aca="false">COUNTIF(D25:T25,"&gt;=1")</f>
        <v>2</v>
      </c>
      <c r="X25" s="23" t="s">
        <v>594</v>
      </c>
    </row>
    <row r="26" customFormat="false" ht="30" hidden="false" customHeight="true" outlineLevel="0" collapsed="false">
      <c r="A26" s="23" t="s">
        <v>595</v>
      </c>
      <c r="B26" s="23"/>
      <c r="C26" s="23" t="s">
        <v>593</v>
      </c>
      <c r="D26" s="26" t="n">
        <v>0</v>
      </c>
      <c r="E26" s="26" t="n">
        <v>0</v>
      </c>
      <c r="F26" s="26" t="n">
        <v>0</v>
      </c>
      <c r="G26" s="26" t="n">
        <v>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V26" s="29" t="n">
        <f aca="false">COUNTIF(D26:T26,"&gt;=1")</f>
        <v>0</v>
      </c>
      <c r="X26" s="23" t="s">
        <v>596</v>
      </c>
    </row>
    <row r="27" customFormat="false" ht="15.75" hidden="false" customHeight="true" outlineLevel="0" collapsed="false"/>
    <row r="28" customFormat="false" ht="15" hidden="false" customHeight="true" outlineLevel="0" collapsed="false">
      <c r="A28" s="29" t="s">
        <v>597</v>
      </c>
    </row>
    <row r="29" customFormat="false" ht="15" hidden="false" customHeight="true" outlineLevel="0" collapsed="false">
      <c r="A29" s="29" t="s">
        <v>560</v>
      </c>
      <c r="B29" s="30" t="s">
        <v>598</v>
      </c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29" t="n">
        <f aca="false">COUNTIF(C6:C21,"0 ·*")</f>
        <v>6</v>
      </c>
    </row>
    <row r="30" customFormat="false" ht="15" hidden="false" customHeight="true" outlineLevel="0" collapsed="false">
      <c r="A30" s="29" t="s">
        <v>564</v>
      </c>
      <c r="B30" s="30" t="s">
        <v>599</v>
      </c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29" t="n">
        <f aca="false">COUNTIF(C6:C21,"1 ·*")</f>
        <v>3</v>
      </c>
    </row>
    <row r="31" customFormat="false" ht="15" hidden="false" customHeight="true" outlineLevel="0" collapsed="false">
      <c r="A31" s="29" t="s">
        <v>557</v>
      </c>
      <c r="B31" s="30" t="s">
        <v>600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29" t="n">
        <f aca="false">COUNTIF(C6:C21,"2 ·*")</f>
        <v>6</v>
      </c>
    </row>
    <row r="32" customFormat="false" ht="15" hidden="false" customHeight="true" outlineLevel="0" collapsed="false">
      <c r="A32" s="29" t="s">
        <v>588</v>
      </c>
      <c r="B32" s="30" t="s">
        <v>601</v>
      </c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29" t="n">
        <f aca="false">COUNTIF(C6:C21,"3 ·*")</f>
        <v>1</v>
      </c>
    </row>
    <row r="33" customFormat="false" ht="15" hidden="false" customHeight="true" outlineLevel="0" collapsed="false">
      <c r="A33" s="3" t="s">
        <v>602</v>
      </c>
    </row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7">
    <mergeCell ref="A2:X2"/>
    <mergeCell ref="A22:C22"/>
    <mergeCell ref="A23:C23"/>
    <mergeCell ref="B29:X29"/>
    <mergeCell ref="B30:X30"/>
    <mergeCell ref="B31:X31"/>
    <mergeCell ref="B32:X32"/>
  </mergeCells>
  <conditionalFormatting sqref="D6:T26">
    <cfRule type="cellIs" priority="2" operator="equal" aboveAverage="0" equalAverage="0" bottom="0" percent="0" rank="0" text="" dxfId="0">
      <formula>2</formula>
    </cfRule>
    <cfRule type="cellIs" priority="3" operator="equal" aboveAverage="0" equalAverage="0" bottom="0" percent="0" rank="0" text="" dxfId="1">
      <formula>1</formula>
    </cfRule>
    <cfRule type="cellIs" priority="4" operator="equal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5" activeCellId="0" sqref="D5"/>
    </sheetView>
  </sheetViews>
  <sheetFormatPr defaultColWidth="14.433593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5" min="4" style="1" width="10"/>
    <col collapsed="false" customWidth="true" hidden="false" outlineLevel="0" max="6" min="6" style="1" width="9"/>
    <col collapsed="false" customWidth="true" hidden="false" outlineLevel="0" max="7" min="7" style="1" width="40"/>
    <col collapsed="false" customWidth="true" hidden="false" outlineLevel="0" max="26" min="8" style="1" width="8.71"/>
  </cols>
  <sheetData>
    <row r="1" customFormat="false" ht="15.75" hidden="false" customHeight="true" outlineLevel="0" collapsed="false">
      <c r="A1" s="2" t="s">
        <v>603</v>
      </c>
    </row>
    <row r="2" customFormat="false" ht="15" hidden="false" customHeight="true" outlineLevel="0" collapsed="false">
      <c r="A2" s="3" t="s">
        <v>604</v>
      </c>
    </row>
    <row r="3" customFormat="false" ht="15" hidden="false" customHeight="true" outlineLevel="0" collapsed="false"/>
    <row r="4" customFormat="false" ht="21.75" hidden="false" customHeight="true" outlineLevel="0" collapsed="false">
      <c r="A4" s="31" t="s">
        <v>64</v>
      </c>
      <c r="B4" s="31" t="s">
        <v>379</v>
      </c>
      <c r="C4" s="31" t="s">
        <v>42</v>
      </c>
      <c r="D4" s="31" t="s">
        <v>605</v>
      </c>
      <c r="E4" s="31" t="s">
        <v>606</v>
      </c>
      <c r="F4" s="31" t="s">
        <v>478</v>
      </c>
      <c r="G4" s="31" t="s">
        <v>607</v>
      </c>
    </row>
    <row r="5" customFormat="false" ht="15" hidden="false" customHeight="true" outlineLevel="0" collapsed="false">
      <c r="A5" s="32" t="s">
        <v>68</v>
      </c>
      <c r="B5" s="32" t="s">
        <v>315</v>
      </c>
      <c r="C5" s="32" t="s">
        <v>608</v>
      </c>
      <c r="D5" s="32" t="n">
        <v>0</v>
      </c>
      <c r="E5" s="33"/>
      <c r="F5" s="32" t="str">
        <f aca="false">IF(E5="","",IF(E5=D5,1,0))</f>
        <v/>
      </c>
      <c r="G5" s="33"/>
    </row>
    <row r="6" customFormat="false" ht="15" hidden="false" customHeight="true" outlineLevel="0" collapsed="false">
      <c r="A6" s="32" t="s">
        <v>68</v>
      </c>
      <c r="B6" s="32" t="s">
        <v>315</v>
      </c>
      <c r="C6" s="32" t="s">
        <v>609</v>
      </c>
      <c r="D6" s="32" t="n">
        <v>0</v>
      </c>
      <c r="E6" s="33"/>
      <c r="F6" s="32" t="str">
        <f aca="false">IF(E6="","",IF(E6=D6,1,0))</f>
        <v/>
      </c>
      <c r="G6" s="33"/>
    </row>
    <row r="7" customFormat="false" ht="15" hidden="false" customHeight="true" outlineLevel="0" collapsed="false">
      <c r="A7" s="32" t="s">
        <v>68</v>
      </c>
      <c r="B7" s="32" t="s">
        <v>315</v>
      </c>
      <c r="C7" s="32" t="s">
        <v>610</v>
      </c>
      <c r="D7" s="32" t="n">
        <v>0</v>
      </c>
      <c r="E7" s="33"/>
      <c r="F7" s="32" t="str">
        <f aca="false">IF(E7="","",IF(E7=D7,1,0))</f>
        <v/>
      </c>
      <c r="G7" s="33"/>
    </row>
    <row r="8" customFormat="false" ht="15" hidden="false" customHeight="true" outlineLevel="0" collapsed="false">
      <c r="A8" s="32" t="s">
        <v>68</v>
      </c>
      <c r="B8" s="32" t="s">
        <v>315</v>
      </c>
      <c r="C8" s="32" t="s">
        <v>611</v>
      </c>
      <c r="D8" s="32" t="n">
        <v>0</v>
      </c>
      <c r="E8" s="33"/>
      <c r="F8" s="32" t="str">
        <f aca="false">IF(E8="","",IF(E8=D8,1,0))</f>
        <v/>
      </c>
      <c r="G8" s="33"/>
    </row>
    <row r="9" customFormat="false" ht="15" hidden="false" customHeight="true" outlineLevel="0" collapsed="false">
      <c r="A9" s="32" t="s">
        <v>68</v>
      </c>
      <c r="B9" s="32" t="s">
        <v>315</v>
      </c>
      <c r="C9" s="32" t="s">
        <v>612</v>
      </c>
      <c r="D9" s="32" t="n">
        <v>0</v>
      </c>
      <c r="E9" s="33"/>
      <c r="F9" s="32" t="str">
        <f aca="false">IF(E9="","",IF(E9=D9,1,0))</f>
        <v/>
      </c>
      <c r="G9" s="33"/>
    </row>
    <row r="10" customFormat="false" ht="15" hidden="false" customHeight="true" outlineLevel="0" collapsed="false">
      <c r="A10" s="32" t="s">
        <v>68</v>
      </c>
      <c r="B10" s="32" t="s">
        <v>315</v>
      </c>
      <c r="C10" s="32" t="s">
        <v>613</v>
      </c>
      <c r="D10" s="32" t="n">
        <v>0</v>
      </c>
      <c r="E10" s="33"/>
      <c r="F10" s="32" t="str">
        <f aca="false">IF(E10="","",IF(E10=D10,1,0))</f>
        <v/>
      </c>
      <c r="G10" s="33"/>
    </row>
    <row r="11" customFormat="false" ht="15" hidden="false" customHeight="true" outlineLevel="0" collapsed="false">
      <c r="A11" s="32" t="s">
        <v>68</v>
      </c>
      <c r="B11" s="32" t="s">
        <v>315</v>
      </c>
      <c r="C11" s="32" t="s">
        <v>614</v>
      </c>
      <c r="D11" s="32" t="n">
        <v>0</v>
      </c>
      <c r="E11" s="33"/>
      <c r="F11" s="32" t="str">
        <f aca="false">IF(E11="","",IF(E11=D11,1,0))</f>
        <v/>
      </c>
      <c r="G11" s="33"/>
    </row>
    <row r="12" customFormat="false" ht="15" hidden="false" customHeight="true" outlineLevel="0" collapsed="false">
      <c r="A12" s="32" t="s">
        <v>68</v>
      </c>
      <c r="B12" s="32" t="s">
        <v>315</v>
      </c>
      <c r="C12" s="32" t="s">
        <v>615</v>
      </c>
      <c r="D12" s="32" t="n">
        <v>0</v>
      </c>
      <c r="E12" s="33"/>
      <c r="F12" s="32" t="str">
        <f aca="false">IF(E12="","",IF(E12=D12,1,0))</f>
        <v/>
      </c>
      <c r="G12" s="33"/>
    </row>
    <row r="13" customFormat="false" ht="15" hidden="false" customHeight="true" outlineLevel="0" collapsed="false">
      <c r="A13" s="32" t="s">
        <v>68</v>
      </c>
      <c r="B13" s="32" t="s">
        <v>315</v>
      </c>
      <c r="C13" s="32" t="s">
        <v>616</v>
      </c>
      <c r="D13" s="32" t="n">
        <v>0</v>
      </c>
      <c r="E13" s="33"/>
      <c r="F13" s="32" t="str">
        <f aca="false">IF(E13="","",IF(E13=D13,1,0))</f>
        <v/>
      </c>
      <c r="G13" s="33"/>
    </row>
    <row r="14" customFormat="false" ht="15" hidden="false" customHeight="true" outlineLevel="0" collapsed="false">
      <c r="A14" s="32" t="s">
        <v>68</v>
      </c>
      <c r="B14" s="32" t="s">
        <v>315</v>
      </c>
      <c r="C14" s="32" t="s">
        <v>617</v>
      </c>
      <c r="D14" s="32" t="n">
        <v>0</v>
      </c>
      <c r="E14" s="33"/>
      <c r="F14" s="32" t="str">
        <f aca="false">IF(E14="","",IF(E14=D14,1,0))</f>
        <v/>
      </c>
      <c r="G14" s="33"/>
    </row>
    <row r="15" customFormat="false" ht="15" hidden="false" customHeight="true" outlineLevel="0" collapsed="false">
      <c r="A15" s="32" t="s">
        <v>68</v>
      </c>
      <c r="B15" s="32" t="s">
        <v>315</v>
      </c>
      <c r="C15" s="32" t="s">
        <v>618</v>
      </c>
      <c r="D15" s="32" t="n">
        <v>0</v>
      </c>
      <c r="E15" s="33"/>
      <c r="F15" s="32" t="str">
        <f aca="false">IF(E15="","",IF(E15=D15,1,0))</f>
        <v/>
      </c>
      <c r="G15" s="33"/>
    </row>
    <row r="16" customFormat="false" ht="15" hidden="false" customHeight="true" outlineLevel="0" collapsed="false">
      <c r="A16" s="32" t="s">
        <v>68</v>
      </c>
      <c r="B16" s="32" t="s">
        <v>315</v>
      </c>
      <c r="C16" s="32" t="s">
        <v>619</v>
      </c>
      <c r="D16" s="32" t="n">
        <v>0</v>
      </c>
      <c r="E16" s="33"/>
      <c r="F16" s="32" t="str">
        <f aca="false">IF(E16="","",IF(E16=D16,1,0))</f>
        <v/>
      </c>
      <c r="G16" s="33"/>
    </row>
    <row r="17" customFormat="false" ht="15" hidden="false" customHeight="true" outlineLevel="0" collapsed="false">
      <c r="A17" s="32" t="s">
        <v>68</v>
      </c>
      <c r="B17" s="32" t="s">
        <v>315</v>
      </c>
      <c r="C17" s="32" t="s">
        <v>620</v>
      </c>
      <c r="D17" s="32" t="n">
        <v>0</v>
      </c>
      <c r="E17" s="33"/>
      <c r="F17" s="32" t="str">
        <f aca="false">IF(E17="","",IF(E17=D17,1,0))</f>
        <v/>
      </c>
      <c r="G17" s="33"/>
    </row>
    <row r="18" customFormat="false" ht="15" hidden="false" customHeight="true" outlineLevel="0" collapsed="false">
      <c r="A18" s="32" t="s">
        <v>68</v>
      </c>
      <c r="B18" s="32" t="s">
        <v>315</v>
      </c>
      <c r="C18" s="32" t="s">
        <v>621</v>
      </c>
      <c r="D18" s="32" t="n">
        <v>0</v>
      </c>
      <c r="E18" s="33"/>
      <c r="F18" s="32" t="str">
        <f aca="false">IF(E18="","",IF(E18=D18,1,0))</f>
        <v/>
      </c>
      <c r="G18" s="33"/>
    </row>
    <row r="19" customFormat="false" ht="15" hidden="false" customHeight="true" outlineLevel="0" collapsed="false">
      <c r="A19" s="32" t="s">
        <v>68</v>
      </c>
      <c r="B19" s="32" t="s">
        <v>315</v>
      </c>
      <c r="C19" s="32" t="s">
        <v>622</v>
      </c>
      <c r="D19" s="32" t="n">
        <v>0</v>
      </c>
      <c r="E19" s="33"/>
      <c r="F19" s="32" t="str">
        <f aca="false">IF(E19="","",IF(E19=D19,1,0))</f>
        <v/>
      </c>
      <c r="G19" s="33"/>
    </row>
    <row r="20" customFormat="false" ht="15" hidden="false" customHeight="true" outlineLevel="0" collapsed="false">
      <c r="A20" s="32" t="s">
        <v>68</v>
      </c>
      <c r="B20" s="32" t="s">
        <v>315</v>
      </c>
      <c r="C20" s="32" t="s">
        <v>623</v>
      </c>
      <c r="D20" s="32" t="n">
        <v>0</v>
      </c>
      <c r="E20" s="33"/>
      <c r="F20" s="32" t="str">
        <f aca="false">IF(E20="","",IF(E20=D20,1,0))</f>
        <v/>
      </c>
      <c r="G20" s="33"/>
    </row>
    <row r="21" customFormat="false" ht="15" hidden="false" customHeight="true" outlineLevel="0" collapsed="false">
      <c r="A21" s="32" t="s">
        <v>68</v>
      </c>
      <c r="B21" s="32" t="s">
        <v>315</v>
      </c>
      <c r="C21" s="32" t="s">
        <v>624</v>
      </c>
      <c r="D21" s="32" t="n">
        <v>0</v>
      </c>
      <c r="E21" s="33"/>
      <c r="F21" s="32" t="str">
        <f aca="false">IF(E21="","",IF(E21=D21,1,0))</f>
        <v/>
      </c>
      <c r="G21" s="33"/>
    </row>
    <row r="22" customFormat="false" ht="15" hidden="false" customHeight="true" outlineLevel="0" collapsed="false">
      <c r="A22" s="32" t="s">
        <v>69</v>
      </c>
      <c r="B22" s="32" t="s">
        <v>566</v>
      </c>
      <c r="C22" s="32" t="s">
        <v>608</v>
      </c>
      <c r="D22" s="32" t="n">
        <v>0</v>
      </c>
      <c r="E22" s="33"/>
      <c r="F22" s="32" t="str">
        <f aca="false">IF(E22="","",IF(E22=D22,1,0))</f>
        <v/>
      </c>
      <c r="G22" s="33"/>
    </row>
    <row r="23" customFormat="false" ht="15" hidden="false" customHeight="true" outlineLevel="0" collapsed="false">
      <c r="A23" s="32" t="s">
        <v>69</v>
      </c>
      <c r="B23" s="32" t="s">
        <v>566</v>
      </c>
      <c r="C23" s="32" t="s">
        <v>609</v>
      </c>
      <c r="D23" s="32" t="n">
        <v>2</v>
      </c>
      <c r="E23" s="33"/>
      <c r="F23" s="32" t="str">
        <f aca="false">IF(E23="","",IF(E23=D23,1,0))</f>
        <v/>
      </c>
      <c r="G23" s="33"/>
    </row>
    <row r="24" customFormat="false" ht="15" hidden="false" customHeight="true" outlineLevel="0" collapsed="false">
      <c r="A24" s="32" t="s">
        <v>69</v>
      </c>
      <c r="B24" s="32" t="s">
        <v>566</v>
      </c>
      <c r="C24" s="32" t="s">
        <v>610</v>
      </c>
      <c r="D24" s="32" t="n">
        <v>2</v>
      </c>
      <c r="E24" s="33"/>
      <c r="F24" s="32" t="str">
        <f aca="false">IF(E24="","",IF(E24=D24,1,0))</f>
        <v/>
      </c>
      <c r="G24" s="33"/>
    </row>
    <row r="25" customFormat="false" ht="15" hidden="false" customHeight="true" outlineLevel="0" collapsed="false">
      <c r="A25" s="32" t="s">
        <v>69</v>
      </c>
      <c r="B25" s="32" t="s">
        <v>566</v>
      </c>
      <c r="C25" s="32" t="s">
        <v>611</v>
      </c>
      <c r="D25" s="32" t="n">
        <v>2</v>
      </c>
      <c r="E25" s="33"/>
      <c r="F25" s="32" t="str">
        <f aca="false">IF(E25="","",IF(E25=D25,1,0))</f>
        <v/>
      </c>
      <c r="G25" s="33"/>
    </row>
    <row r="26" customFormat="false" ht="15" hidden="false" customHeight="true" outlineLevel="0" collapsed="false">
      <c r="A26" s="32" t="s">
        <v>69</v>
      </c>
      <c r="B26" s="32" t="s">
        <v>566</v>
      </c>
      <c r="C26" s="32" t="s">
        <v>612</v>
      </c>
      <c r="D26" s="32" t="n">
        <v>0</v>
      </c>
      <c r="E26" s="33"/>
      <c r="F26" s="32" t="str">
        <f aca="false">IF(E26="","",IF(E26=D26,1,0))</f>
        <v/>
      </c>
      <c r="G26" s="33"/>
    </row>
    <row r="27" customFormat="false" ht="15" hidden="false" customHeight="true" outlineLevel="0" collapsed="false">
      <c r="A27" s="32" t="s">
        <v>69</v>
      </c>
      <c r="B27" s="32" t="s">
        <v>566</v>
      </c>
      <c r="C27" s="32" t="s">
        <v>613</v>
      </c>
      <c r="D27" s="32" t="n">
        <v>2</v>
      </c>
      <c r="E27" s="33"/>
      <c r="F27" s="32" t="str">
        <f aca="false">IF(E27="","",IF(E27=D27,1,0))</f>
        <v/>
      </c>
      <c r="G27" s="33"/>
    </row>
    <row r="28" customFormat="false" ht="15" hidden="false" customHeight="true" outlineLevel="0" collapsed="false">
      <c r="A28" s="32" t="s">
        <v>69</v>
      </c>
      <c r="B28" s="32" t="s">
        <v>566</v>
      </c>
      <c r="C28" s="32" t="s">
        <v>614</v>
      </c>
      <c r="D28" s="32" t="n">
        <v>2</v>
      </c>
      <c r="E28" s="33"/>
      <c r="F28" s="32" t="str">
        <f aca="false">IF(E28="","",IF(E28=D28,1,0))</f>
        <v/>
      </c>
      <c r="G28" s="33"/>
    </row>
    <row r="29" customFormat="false" ht="15" hidden="false" customHeight="true" outlineLevel="0" collapsed="false">
      <c r="A29" s="32" t="s">
        <v>69</v>
      </c>
      <c r="B29" s="32" t="s">
        <v>566</v>
      </c>
      <c r="C29" s="32" t="s">
        <v>615</v>
      </c>
      <c r="D29" s="32" t="n">
        <v>2</v>
      </c>
      <c r="E29" s="33"/>
      <c r="F29" s="32" t="str">
        <f aca="false">IF(E29="","",IF(E29=D29,1,0))</f>
        <v/>
      </c>
      <c r="G29" s="33"/>
    </row>
    <row r="30" customFormat="false" ht="15" hidden="false" customHeight="true" outlineLevel="0" collapsed="false">
      <c r="A30" s="32" t="s">
        <v>69</v>
      </c>
      <c r="B30" s="32" t="s">
        <v>566</v>
      </c>
      <c r="C30" s="32" t="s">
        <v>616</v>
      </c>
      <c r="D30" s="32" t="n">
        <v>0</v>
      </c>
      <c r="E30" s="33"/>
      <c r="F30" s="32" t="str">
        <f aca="false">IF(E30="","",IF(E30=D30,1,0))</f>
        <v/>
      </c>
      <c r="G30" s="33"/>
    </row>
    <row r="31" customFormat="false" ht="15" hidden="false" customHeight="true" outlineLevel="0" collapsed="false">
      <c r="A31" s="32" t="s">
        <v>69</v>
      </c>
      <c r="B31" s="32" t="s">
        <v>566</v>
      </c>
      <c r="C31" s="32" t="s">
        <v>617</v>
      </c>
      <c r="D31" s="32" t="n">
        <v>0</v>
      </c>
      <c r="E31" s="33"/>
      <c r="F31" s="32" t="str">
        <f aca="false">IF(E31="","",IF(E31=D31,1,0))</f>
        <v/>
      </c>
      <c r="G31" s="33"/>
    </row>
    <row r="32" customFormat="false" ht="15" hidden="false" customHeight="true" outlineLevel="0" collapsed="false">
      <c r="A32" s="32" t="s">
        <v>69</v>
      </c>
      <c r="B32" s="32" t="s">
        <v>566</v>
      </c>
      <c r="C32" s="32" t="s">
        <v>618</v>
      </c>
      <c r="D32" s="32" t="n">
        <v>2</v>
      </c>
      <c r="E32" s="33"/>
      <c r="F32" s="32" t="str">
        <f aca="false">IF(E32="","",IF(E32=D32,1,0))</f>
        <v/>
      </c>
      <c r="G32" s="33"/>
    </row>
    <row r="33" customFormat="false" ht="15" hidden="false" customHeight="true" outlineLevel="0" collapsed="false">
      <c r="A33" s="32" t="s">
        <v>69</v>
      </c>
      <c r="B33" s="32" t="s">
        <v>566</v>
      </c>
      <c r="C33" s="32" t="s">
        <v>619</v>
      </c>
      <c r="D33" s="32" t="n">
        <v>2</v>
      </c>
      <c r="E33" s="33"/>
      <c r="F33" s="32" t="str">
        <f aca="false">IF(E33="","",IF(E33=D33,1,0))</f>
        <v/>
      </c>
      <c r="G33" s="33"/>
    </row>
    <row r="34" customFormat="false" ht="15" hidden="false" customHeight="true" outlineLevel="0" collapsed="false">
      <c r="A34" s="32" t="s">
        <v>69</v>
      </c>
      <c r="B34" s="32" t="s">
        <v>566</v>
      </c>
      <c r="C34" s="32" t="s">
        <v>620</v>
      </c>
      <c r="D34" s="32" t="n">
        <v>0</v>
      </c>
      <c r="E34" s="33"/>
      <c r="F34" s="32" t="str">
        <f aca="false">IF(E34="","",IF(E34=D34,1,0))</f>
        <v/>
      </c>
      <c r="G34" s="33"/>
    </row>
    <row r="35" customFormat="false" ht="15" hidden="false" customHeight="true" outlineLevel="0" collapsed="false">
      <c r="A35" s="32" t="s">
        <v>69</v>
      </c>
      <c r="B35" s="32" t="s">
        <v>566</v>
      </c>
      <c r="C35" s="32" t="s">
        <v>621</v>
      </c>
      <c r="D35" s="32" t="n">
        <v>0</v>
      </c>
      <c r="E35" s="33"/>
      <c r="F35" s="32" t="str">
        <f aca="false">IF(E35="","",IF(E35=D35,1,0))</f>
        <v/>
      </c>
      <c r="G35" s="33"/>
    </row>
    <row r="36" customFormat="false" ht="15" hidden="false" customHeight="true" outlineLevel="0" collapsed="false">
      <c r="A36" s="32" t="s">
        <v>69</v>
      </c>
      <c r="B36" s="32" t="s">
        <v>566</v>
      </c>
      <c r="C36" s="32" t="s">
        <v>622</v>
      </c>
      <c r="D36" s="32" t="n">
        <v>2</v>
      </c>
      <c r="E36" s="33"/>
      <c r="F36" s="32" t="str">
        <f aca="false">IF(E36="","",IF(E36=D36,1,0))</f>
        <v/>
      </c>
      <c r="G36" s="33"/>
    </row>
    <row r="37" customFormat="false" ht="15" hidden="false" customHeight="true" outlineLevel="0" collapsed="false">
      <c r="A37" s="32" t="s">
        <v>69</v>
      </c>
      <c r="B37" s="32" t="s">
        <v>566</v>
      </c>
      <c r="C37" s="32" t="s">
        <v>623</v>
      </c>
      <c r="D37" s="32" t="n">
        <v>0</v>
      </c>
      <c r="E37" s="33"/>
      <c r="F37" s="32" t="str">
        <f aca="false">IF(E37="","",IF(E37=D37,1,0))</f>
        <v/>
      </c>
      <c r="G37" s="33"/>
    </row>
    <row r="38" customFormat="false" ht="15" hidden="false" customHeight="true" outlineLevel="0" collapsed="false">
      <c r="A38" s="32" t="s">
        <v>69</v>
      </c>
      <c r="B38" s="32" t="s">
        <v>566</v>
      </c>
      <c r="C38" s="32" t="s">
        <v>624</v>
      </c>
      <c r="D38" s="32" t="n">
        <v>0</v>
      </c>
      <c r="E38" s="33"/>
      <c r="F38" s="32" t="str">
        <f aca="false">IF(E38="","",IF(E38=D38,1,0))</f>
        <v/>
      </c>
      <c r="G38" s="33"/>
    </row>
    <row r="39" customFormat="false" ht="15" hidden="false" customHeight="true" outlineLevel="0" collapsed="false">
      <c r="A39" s="32" t="s">
        <v>70</v>
      </c>
      <c r="B39" s="32" t="s">
        <v>568</v>
      </c>
      <c r="C39" s="32" t="s">
        <v>608</v>
      </c>
      <c r="D39" s="32" t="n">
        <v>2</v>
      </c>
      <c r="E39" s="33"/>
      <c r="F39" s="32" t="str">
        <f aca="false">IF(E39="","",IF(E39=D39,1,0))</f>
        <v/>
      </c>
      <c r="G39" s="33"/>
    </row>
    <row r="40" customFormat="false" ht="15" hidden="false" customHeight="true" outlineLevel="0" collapsed="false">
      <c r="A40" s="32" t="s">
        <v>70</v>
      </c>
      <c r="B40" s="32" t="s">
        <v>568</v>
      </c>
      <c r="C40" s="32" t="s">
        <v>609</v>
      </c>
      <c r="D40" s="32" t="n">
        <v>2</v>
      </c>
      <c r="E40" s="33"/>
      <c r="F40" s="32" t="str">
        <f aca="false">IF(E40="","",IF(E40=D40,1,0))</f>
        <v/>
      </c>
      <c r="G40" s="33"/>
    </row>
    <row r="41" customFormat="false" ht="15" hidden="false" customHeight="true" outlineLevel="0" collapsed="false">
      <c r="A41" s="32" t="s">
        <v>70</v>
      </c>
      <c r="B41" s="32" t="s">
        <v>568</v>
      </c>
      <c r="C41" s="32" t="s">
        <v>610</v>
      </c>
      <c r="D41" s="32" t="n">
        <v>2</v>
      </c>
      <c r="E41" s="33"/>
      <c r="F41" s="32" t="str">
        <f aca="false">IF(E41="","",IF(E41=D41,1,0))</f>
        <v/>
      </c>
      <c r="G41" s="33"/>
    </row>
    <row r="42" customFormat="false" ht="15" hidden="false" customHeight="true" outlineLevel="0" collapsed="false">
      <c r="A42" s="32" t="s">
        <v>70</v>
      </c>
      <c r="B42" s="32" t="s">
        <v>568</v>
      </c>
      <c r="C42" s="32" t="s">
        <v>611</v>
      </c>
      <c r="D42" s="32" t="n">
        <v>2</v>
      </c>
      <c r="E42" s="33"/>
      <c r="F42" s="32" t="str">
        <f aca="false">IF(E42="","",IF(E42=D42,1,0))</f>
        <v/>
      </c>
      <c r="G42" s="33"/>
    </row>
    <row r="43" customFormat="false" ht="15" hidden="false" customHeight="true" outlineLevel="0" collapsed="false">
      <c r="A43" s="32" t="s">
        <v>70</v>
      </c>
      <c r="B43" s="32" t="s">
        <v>568</v>
      </c>
      <c r="C43" s="32" t="s">
        <v>612</v>
      </c>
      <c r="D43" s="32" t="n">
        <v>2</v>
      </c>
      <c r="E43" s="33"/>
      <c r="F43" s="32" t="str">
        <f aca="false">IF(E43="","",IF(E43=D43,1,0))</f>
        <v/>
      </c>
      <c r="G43" s="33"/>
    </row>
    <row r="44" customFormat="false" ht="15" hidden="false" customHeight="true" outlineLevel="0" collapsed="false">
      <c r="A44" s="32" t="s">
        <v>70</v>
      </c>
      <c r="B44" s="32" t="s">
        <v>568</v>
      </c>
      <c r="C44" s="32" t="s">
        <v>613</v>
      </c>
      <c r="D44" s="32" t="n">
        <v>2</v>
      </c>
      <c r="E44" s="33"/>
      <c r="F44" s="32" t="str">
        <f aca="false">IF(E44="","",IF(E44=D44,1,0))</f>
        <v/>
      </c>
      <c r="G44" s="33"/>
    </row>
    <row r="45" customFormat="false" ht="15" hidden="false" customHeight="true" outlineLevel="0" collapsed="false">
      <c r="A45" s="32" t="s">
        <v>70</v>
      </c>
      <c r="B45" s="32" t="s">
        <v>568</v>
      </c>
      <c r="C45" s="32" t="s">
        <v>614</v>
      </c>
      <c r="D45" s="32" t="n">
        <v>2</v>
      </c>
      <c r="E45" s="33"/>
      <c r="F45" s="32" t="str">
        <f aca="false">IF(E45="","",IF(E45=D45,1,0))</f>
        <v/>
      </c>
      <c r="G45" s="33"/>
    </row>
    <row r="46" customFormat="false" ht="15" hidden="false" customHeight="true" outlineLevel="0" collapsed="false">
      <c r="A46" s="32" t="s">
        <v>70</v>
      </c>
      <c r="B46" s="32" t="s">
        <v>568</v>
      </c>
      <c r="C46" s="32" t="s">
        <v>615</v>
      </c>
      <c r="D46" s="32" t="n">
        <v>2</v>
      </c>
      <c r="E46" s="33"/>
      <c r="F46" s="32" t="str">
        <f aca="false">IF(E46="","",IF(E46=D46,1,0))</f>
        <v/>
      </c>
      <c r="G46" s="33"/>
    </row>
    <row r="47" customFormat="false" ht="15" hidden="false" customHeight="true" outlineLevel="0" collapsed="false">
      <c r="A47" s="32" t="s">
        <v>70</v>
      </c>
      <c r="B47" s="32" t="s">
        <v>568</v>
      </c>
      <c r="C47" s="32" t="s">
        <v>616</v>
      </c>
      <c r="D47" s="32" t="n">
        <v>2</v>
      </c>
      <c r="E47" s="33"/>
      <c r="F47" s="32" t="str">
        <f aca="false">IF(E47="","",IF(E47=D47,1,0))</f>
        <v/>
      </c>
      <c r="G47" s="33"/>
    </row>
    <row r="48" customFormat="false" ht="15" hidden="false" customHeight="true" outlineLevel="0" collapsed="false">
      <c r="A48" s="32" t="s">
        <v>70</v>
      </c>
      <c r="B48" s="32" t="s">
        <v>568</v>
      </c>
      <c r="C48" s="32" t="s">
        <v>617</v>
      </c>
      <c r="D48" s="32" t="n">
        <v>2</v>
      </c>
      <c r="E48" s="33"/>
      <c r="F48" s="32" t="str">
        <f aca="false">IF(E48="","",IF(E48=D48,1,0))</f>
        <v/>
      </c>
      <c r="G48" s="33"/>
    </row>
    <row r="49" customFormat="false" ht="15" hidden="false" customHeight="true" outlineLevel="0" collapsed="false">
      <c r="A49" s="32" t="s">
        <v>70</v>
      </c>
      <c r="B49" s="32" t="s">
        <v>568</v>
      </c>
      <c r="C49" s="32" t="s">
        <v>618</v>
      </c>
      <c r="D49" s="32" t="n">
        <v>2</v>
      </c>
      <c r="E49" s="33"/>
      <c r="F49" s="32" t="str">
        <f aca="false">IF(E49="","",IF(E49=D49,1,0))</f>
        <v/>
      </c>
      <c r="G49" s="33"/>
    </row>
    <row r="50" customFormat="false" ht="15" hidden="false" customHeight="true" outlineLevel="0" collapsed="false">
      <c r="A50" s="32" t="s">
        <v>70</v>
      </c>
      <c r="B50" s="32" t="s">
        <v>568</v>
      </c>
      <c r="C50" s="32" t="s">
        <v>619</v>
      </c>
      <c r="D50" s="32" t="n">
        <v>2</v>
      </c>
      <c r="E50" s="33"/>
      <c r="F50" s="32" t="str">
        <f aca="false">IF(E50="","",IF(E50=D50,1,0))</f>
        <v/>
      </c>
      <c r="G50" s="33"/>
    </row>
    <row r="51" customFormat="false" ht="15" hidden="false" customHeight="true" outlineLevel="0" collapsed="false">
      <c r="A51" s="32" t="s">
        <v>70</v>
      </c>
      <c r="B51" s="32" t="s">
        <v>568</v>
      </c>
      <c r="C51" s="32" t="s">
        <v>620</v>
      </c>
      <c r="D51" s="32" t="n">
        <v>2</v>
      </c>
      <c r="E51" s="33"/>
      <c r="F51" s="32" t="str">
        <f aca="false">IF(E51="","",IF(E51=D51,1,0))</f>
        <v/>
      </c>
      <c r="G51" s="33"/>
    </row>
    <row r="52" customFormat="false" ht="15" hidden="false" customHeight="true" outlineLevel="0" collapsed="false">
      <c r="A52" s="32" t="s">
        <v>70</v>
      </c>
      <c r="B52" s="32" t="s">
        <v>568</v>
      </c>
      <c r="C52" s="32" t="s">
        <v>621</v>
      </c>
      <c r="D52" s="32" t="n">
        <v>2</v>
      </c>
      <c r="E52" s="33"/>
      <c r="F52" s="32" t="str">
        <f aca="false">IF(E52="","",IF(E52=D52,1,0))</f>
        <v/>
      </c>
      <c r="G52" s="33"/>
    </row>
    <row r="53" customFormat="false" ht="15" hidden="false" customHeight="true" outlineLevel="0" collapsed="false">
      <c r="A53" s="32" t="s">
        <v>70</v>
      </c>
      <c r="B53" s="32" t="s">
        <v>568</v>
      </c>
      <c r="C53" s="32" t="s">
        <v>622</v>
      </c>
      <c r="D53" s="32" t="n">
        <v>2</v>
      </c>
      <c r="E53" s="33"/>
      <c r="F53" s="32" t="str">
        <f aca="false">IF(E53="","",IF(E53=D53,1,0))</f>
        <v/>
      </c>
      <c r="G53" s="33"/>
    </row>
    <row r="54" customFormat="false" ht="15" hidden="false" customHeight="true" outlineLevel="0" collapsed="false">
      <c r="A54" s="32" t="s">
        <v>70</v>
      </c>
      <c r="B54" s="32" t="s">
        <v>568</v>
      </c>
      <c r="C54" s="32" t="s">
        <v>623</v>
      </c>
      <c r="D54" s="32" t="n">
        <v>2</v>
      </c>
      <c r="E54" s="33"/>
      <c r="F54" s="32" t="str">
        <f aca="false">IF(E54="","",IF(E54=D54,1,0))</f>
        <v/>
      </c>
      <c r="G54" s="33"/>
    </row>
    <row r="55" customFormat="false" ht="15" hidden="false" customHeight="true" outlineLevel="0" collapsed="false">
      <c r="A55" s="32" t="s">
        <v>70</v>
      </c>
      <c r="B55" s="32" t="s">
        <v>568</v>
      </c>
      <c r="C55" s="32" t="s">
        <v>624</v>
      </c>
      <c r="D55" s="32" t="n">
        <v>2</v>
      </c>
      <c r="E55" s="33"/>
      <c r="F55" s="32" t="str">
        <f aca="false">IF(E55="","",IF(E55=D55,1,0))</f>
        <v/>
      </c>
      <c r="G55" s="33"/>
    </row>
    <row r="56" customFormat="false" ht="15" hidden="false" customHeight="true" outlineLevel="0" collapsed="false">
      <c r="A56" s="32" t="s">
        <v>71</v>
      </c>
      <c r="B56" s="32" t="s">
        <v>339</v>
      </c>
      <c r="C56" s="32" t="s">
        <v>608</v>
      </c>
      <c r="D56" s="32" t="n">
        <v>0</v>
      </c>
      <c r="E56" s="33"/>
      <c r="F56" s="32" t="str">
        <f aca="false">IF(E56="","",IF(E56=D56,1,0))</f>
        <v/>
      </c>
      <c r="G56" s="33"/>
    </row>
    <row r="57" customFormat="false" ht="15" hidden="false" customHeight="true" outlineLevel="0" collapsed="false">
      <c r="A57" s="32" t="s">
        <v>71</v>
      </c>
      <c r="B57" s="32" t="s">
        <v>339</v>
      </c>
      <c r="C57" s="32" t="s">
        <v>609</v>
      </c>
      <c r="D57" s="32" t="n">
        <v>0</v>
      </c>
      <c r="E57" s="33"/>
      <c r="F57" s="32" t="str">
        <f aca="false">IF(E57="","",IF(E57=D57,1,0))</f>
        <v/>
      </c>
      <c r="G57" s="33"/>
    </row>
    <row r="58" customFormat="false" ht="15" hidden="false" customHeight="true" outlineLevel="0" collapsed="false">
      <c r="A58" s="32" t="s">
        <v>71</v>
      </c>
      <c r="B58" s="32" t="s">
        <v>339</v>
      </c>
      <c r="C58" s="32" t="s">
        <v>610</v>
      </c>
      <c r="D58" s="32" t="n">
        <v>2</v>
      </c>
      <c r="E58" s="33"/>
      <c r="F58" s="32" t="str">
        <f aca="false">IF(E58="","",IF(E58=D58,1,0))</f>
        <v/>
      </c>
      <c r="G58" s="33"/>
    </row>
    <row r="59" customFormat="false" ht="15" hidden="false" customHeight="true" outlineLevel="0" collapsed="false">
      <c r="A59" s="32" t="s">
        <v>71</v>
      </c>
      <c r="B59" s="32" t="s">
        <v>339</v>
      </c>
      <c r="C59" s="32" t="s">
        <v>611</v>
      </c>
      <c r="D59" s="32" t="n">
        <v>2</v>
      </c>
      <c r="E59" s="33"/>
      <c r="F59" s="32" t="str">
        <f aca="false">IF(E59="","",IF(E59=D59,1,0))</f>
        <v/>
      </c>
      <c r="G59" s="33"/>
    </row>
    <row r="60" customFormat="false" ht="15" hidden="false" customHeight="true" outlineLevel="0" collapsed="false">
      <c r="A60" s="32" t="s">
        <v>71</v>
      </c>
      <c r="B60" s="32" t="s">
        <v>339</v>
      </c>
      <c r="C60" s="32" t="s">
        <v>612</v>
      </c>
      <c r="D60" s="32" t="n">
        <v>2</v>
      </c>
      <c r="E60" s="33"/>
      <c r="F60" s="32" t="str">
        <f aca="false">IF(E60="","",IF(E60=D60,1,0))</f>
        <v/>
      </c>
      <c r="G60" s="33"/>
    </row>
    <row r="61" customFormat="false" ht="15" hidden="false" customHeight="true" outlineLevel="0" collapsed="false">
      <c r="A61" s="32" t="s">
        <v>71</v>
      </c>
      <c r="B61" s="32" t="s">
        <v>339</v>
      </c>
      <c r="C61" s="32" t="s">
        <v>613</v>
      </c>
      <c r="D61" s="32" t="n">
        <v>2</v>
      </c>
      <c r="E61" s="33"/>
      <c r="F61" s="32" t="str">
        <f aca="false">IF(E61="","",IF(E61=D61,1,0))</f>
        <v/>
      </c>
      <c r="G61" s="33"/>
    </row>
    <row r="62" customFormat="false" ht="15" hidden="false" customHeight="true" outlineLevel="0" collapsed="false">
      <c r="A62" s="32" t="s">
        <v>71</v>
      </c>
      <c r="B62" s="32" t="s">
        <v>339</v>
      </c>
      <c r="C62" s="32" t="s">
        <v>614</v>
      </c>
      <c r="D62" s="32" t="n">
        <v>2</v>
      </c>
      <c r="E62" s="33"/>
      <c r="F62" s="32" t="str">
        <f aca="false">IF(E62="","",IF(E62=D62,1,0))</f>
        <v/>
      </c>
      <c r="G62" s="33"/>
    </row>
    <row r="63" customFormat="false" ht="15" hidden="false" customHeight="true" outlineLevel="0" collapsed="false">
      <c r="A63" s="32" t="s">
        <v>71</v>
      </c>
      <c r="B63" s="32" t="s">
        <v>339</v>
      </c>
      <c r="C63" s="32" t="s">
        <v>615</v>
      </c>
      <c r="D63" s="32" t="n">
        <v>2</v>
      </c>
      <c r="E63" s="33"/>
      <c r="F63" s="32" t="str">
        <f aca="false">IF(E63="","",IF(E63=D63,1,0))</f>
        <v/>
      </c>
      <c r="G63" s="33"/>
    </row>
    <row r="64" customFormat="false" ht="15" hidden="false" customHeight="true" outlineLevel="0" collapsed="false">
      <c r="A64" s="32" t="s">
        <v>71</v>
      </c>
      <c r="B64" s="32" t="s">
        <v>339</v>
      </c>
      <c r="C64" s="32" t="s">
        <v>616</v>
      </c>
      <c r="D64" s="32" t="n">
        <v>2</v>
      </c>
      <c r="E64" s="33"/>
      <c r="F64" s="32" t="str">
        <f aca="false">IF(E64="","",IF(E64=D64,1,0))</f>
        <v/>
      </c>
      <c r="G64" s="33"/>
    </row>
    <row r="65" customFormat="false" ht="15" hidden="false" customHeight="true" outlineLevel="0" collapsed="false">
      <c r="A65" s="32" t="s">
        <v>71</v>
      </c>
      <c r="B65" s="32" t="s">
        <v>339</v>
      </c>
      <c r="C65" s="32" t="s">
        <v>617</v>
      </c>
      <c r="D65" s="32" t="n">
        <v>2</v>
      </c>
      <c r="E65" s="33"/>
      <c r="F65" s="32" t="str">
        <f aca="false">IF(E65="","",IF(E65=D65,1,0))</f>
        <v/>
      </c>
      <c r="G65" s="33"/>
    </row>
    <row r="66" customFormat="false" ht="15" hidden="false" customHeight="true" outlineLevel="0" collapsed="false">
      <c r="A66" s="32" t="s">
        <v>71</v>
      </c>
      <c r="B66" s="32" t="s">
        <v>339</v>
      </c>
      <c r="C66" s="32" t="s">
        <v>618</v>
      </c>
      <c r="D66" s="32" t="n">
        <v>2</v>
      </c>
      <c r="E66" s="33"/>
      <c r="F66" s="32" t="str">
        <f aca="false">IF(E66="","",IF(E66=D66,1,0))</f>
        <v/>
      </c>
      <c r="G66" s="33"/>
    </row>
    <row r="67" customFormat="false" ht="15" hidden="false" customHeight="true" outlineLevel="0" collapsed="false">
      <c r="A67" s="32" t="s">
        <v>71</v>
      </c>
      <c r="B67" s="32" t="s">
        <v>339</v>
      </c>
      <c r="C67" s="32" t="s">
        <v>619</v>
      </c>
      <c r="D67" s="32" t="n">
        <v>2</v>
      </c>
      <c r="E67" s="33"/>
      <c r="F67" s="32" t="str">
        <f aca="false">IF(E67="","",IF(E67=D67,1,0))</f>
        <v/>
      </c>
      <c r="G67" s="33"/>
    </row>
    <row r="68" customFormat="false" ht="15" hidden="false" customHeight="true" outlineLevel="0" collapsed="false">
      <c r="A68" s="32" t="s">
        <v>71</v>
      </c>
      <c r="B68" s="32" t="s">
        <v>339</v>
      </c>
      <c r="C68" s="32" t="s">
        <v>620</v>
      </c>
      <c r="D68" s="32" t="n">
        <v>2</v>
      </c>
      <c r="E68" s="33"/>
      <c r="F68" s="32" t="str">
        <f aca="false">IF(E68="","",IF(E68=D68,1,0))</f>
        <v/>
      </c>
      <c r="G68" s="33"/>
    </row>
    <row r="69" customFormat="false" ht="15" hidden="false" customHeight="true" outlineLevel="0" collapsed="false">
      <c r="A69" s="32" t="s">
        <v>71</v>
      </c>
      <c r="B69" s="32" t="s">
        <v>339</v>
      </c>
      <c r="C69" s="32" t="s">
        <v>621</v>
      </c>
      <c r="D69" s="32" t="n">
        <v>2</v>
      </c>
      <c r="E69" s="33"/>
      <c r="F69" s="32" t="str">
        <f aca="false">IF(E69="","",IF(E69=D69,1,0))</f>
        <v/>
      </c>
      <c r="G69" s="33"/>
    </row>
    <row r="70" customFormat="false" ht="15" hidden="false" customHeight="true" outlineLevel="0" collapsed="false">
      <c r="A70" s="32" t="s">
        <v>71</v>
      </c>
      <c r="B70" s="32" t="s">
        <v>339</v>
      </c>
      <c r="C70" s="32" t="s">
        <v>622</v>
      </c>
      <c r="D70" s="32" t="n">
        <v>2</v>
      </c>
      <c r="E70" s="33"/>
      <c r="F70" s="32" t="str">
        <f aca="false">IF(E70="","",IF(E70=D70,1,0))</f>
        <v/>
      </c>
      <c r="G70" s="33"/>
    </row>
    <row r="71" customFormat="false" ht="15" hidden="false" customHeight="true" outlineLevel="0" collapsed="false">
      <c r="A71" s="32" t="s">
        <v>71</v>
      </c>
      <c r="B71" s="32" t="s">
        <v>339</v>
      </c>
      <c r="C71" s="32" t="s">
        <v>623</v>
      </c>
      <c r="D71" s="32" t="n">
        <v>2</v>
      </c>
      <c r="E71" s="33"/>
      <c r="F71" s="32" t="str">
        <f aca="false">IF(E71="","",IF(E71=D71,1,0))</f>
        <v/>
      </c>
      <c r="G71" s="33"/>
    </row>
    <row r="72" customFormat="false" ht="15" hidden="false" customHeight="true" outlineLevel="0" collapsed="false">
      <c r="A72" s="32" t="s">
        <v>71</v>
      </c>
      <c r="B72" s="32" t="s">
        <v>339</v>
      </c>
      <c r="C72" s="32" t="s">
        <v>624</v>
      </c>
      <c r="D72" s="32" t="n">
        <v>2</v>
      </c>
      <c r="E72" s="33"/>
      <c r="F72" s="32" t="str">
        <f aca="false">IF(E72="","",IF(E72=D72,1,0))</f>
        <v/>
      </c>
      <c r="G72" s="33"/>
    </row>
    <row r="73" customFormat="false" ht="15" hidden="false" customHeight="true" outlineLevel="0" collapsed="false">
      <c r="A73" s="32" t="s">
        <v>73</v>
      </c>
      <c r="B73" s="32" t="s">
        <v>573</v>
      </c>
      <c r="C73" s="32" t="s">
        <v>608</v>
      </c>
      <c r="D73" s="32" t="n">
        <v>0</v>
      </c>
      <c r="E73" s="33"/>
      <c r="F73" s="32" t="str">
        <f aca="false">IF(E73="","",IF(E73=D73,1,0))</f>
        <v/>
      </c>
      <c r="G73" s="33"/>
    </row>
    <row r="74" customFormat="false" ht="15" hidden="false" customHeight="true" outlineLevel="0" collapsed="false">
      <c r="A74" s="32" t="s">
        <v>73</v>
      </c>
      <c r="B74" s="32" t="s">
        <v>573</v>
      </c>
      <c r="C74" s="32" t="s">
        <v>609</v>
      </c>
      <c r="D74" s="32" t="n">
        <v>0</v>
      </c>
      <c r="E74" s="33"/>
      <c r="F74" s="32" t="str">
        <f aca="false">IF(E74="","",IF(E74=D74,1,0))</f>
        <v/>
      </c>
      <c r="G74" s="33"/>
    </row>
    <row r="75" customFormat="false" ht="15" hidden="false" customHeight="true" outlineLevel="0" collapsed="false">
      <c r="A75" s="32" t="s">
        <v>73</v>
      </c>
      <c r="B75" s="32" t="s">
        <v>573</v>
      </c>
      <c r="C75" s="32" t="s">
        <v>610</v>
      </c>
      <c r="D75" s="32" t="n">
        <v>0</v>
      </c>
      <c r="E75" s="33"/>
      <c r="F75" s="32" t="str">
        <f aca="false">IF(E75="","",IF(E75=D75,1,0))</f>
        <v/>
      </c>
      <c r="G75" s="33"/>
    </row>
    <row r="76" customFormat="false" ht="15" hidden="false" customHeight="true" outlineLevel="0" collapsed="false">
      <c r="A76" s="32" t="s">
        <v>73</v>
      </c>
      <c r="B76" s="32" t="s">
        <v>573</v>
      </c>
      <c r="C76" s="32" t="s">
        <v>611</v>
      </c>
      <c r="D76" s="32" t="n">
        <v>1</v>
      </c>
      <c r="E76" s="33"/>
      <c r="F76" s="32" t="str">
        <f aca="false">IF(E76="","",IF(E76=D76,1,0))</f>
        <v/>
      </c>
      <c r="G76" s="33"/>
    </row>
    <row r="77" customFormat="false" ht="15" hidden="false" customHeight="true" outlineLevel="0" collapsed="false">
      <c r="A77" s="32" t="s">
        <v>73</v>
      </c>
      <c r="B77" s="32" t="s">
        <v>573</v>
      </c>
      <c r="C77" s="32" t="s">
        <v>612</v>
      </c>
      <c r="D77" s="32" t="n">
        <v>2</v>
      </c>
      <c r="E77" s="33"/>
      <c r="F77" s="32" t="str">
        <f aca="false">IF(E77="","",IF(E77=D77,1,0))</f>
        <v/>
      </c>
      <c r="G77" s="33"/>
    </row>
    <row r="78" customFormat="false" ht="15" hidden="false" customHeight="true" outlineLevel="0" collapsed="false">
      <c r="A78" s="32" t="s">
        <v>73</v>
      </c>
      <c r="B78" s="32" t="s">
        <v>573</v>
      </c>
      <c r="C78" s="32" t="s">
        <v>613</v>
      </c>
      <c r="D78" s="32" t="n">
        <v>0</v>
      </c>
      <c r="E78" s="33"/>
      <c r="F78" s="32" t="str">
        <f aca="false">IF(E78="","",IF(E78=D78,1,0))</f>
        <v/>
      </c>
      <c r="G78" s="33"/>
    </row>
    <row r="79" customFormat="false" ht="15" hidden="false" customHeight="true" outlineLevel="0" collapsed="false">
      <c r="A79" s="32" t="s">
        <v>73</v>
      </c>
      <c r="B79" s="32" t="s">
        <v>573</v>
      </c>
      <c r="C79" s="32" t="s">
        <v>614</v>
      </c>
      <c r="D79" s="32" t="n">
        <v>0</v>
      </c>
      <c r="E79" s="33"/>
      <c r="F79" s="32" t="str">
        <f aca="false">IF(E79="","",IF(E79=D79,1,0))</f>
        <v/>
      </c>
      <c r="G79" s="33"/>
    </row>
    <row r="80" customFormat="false" ht="15" hidden="false" customHeight="true" outlineLevel="0" collapsed="false">
      <c r="A80" s="32" t="s">
        <v>73</v>
      </c>
      <c r="B80" s="32" t="s">
        <v>573</v>
      </c>
      <c r="C80" s="32" t="s">
        <v>615</v>
      </c>
      <c r="D80" s="32" t="n">
        <v>1</v>
      </c>
      <c r="E80" s="33"/>
      <c r="F80" s="32" t="str">
        <f aca="false">IF(E80="","",IF(E80=D80,1,0))</f>
        <v/>
      </c>
      <c r="G80" s="33"/>
    </row>
    <row r="81" customFormat="false" ht="15" hidden="false" customHeight="true" outlineLevel="0" collapsed="false">
      <c r="A81" s="32" t="s">
        <v>73</v>
      </c>
      <c r="B81" s="32" t="s">
        <v>573</v>
      </c>
      <c r="C81" s="32" t="s">
        <v>616</v>
      </c>
      <c r="D81" s="32" t="n">
        <v>0</v>
      </c>
      <c r="E81" s="33"/>
      <c r="F81" s="32" t="str">
        <f aca="false">IF(E81="","",IF(E81=D81,1,0))</f>
        <v/>
      </c>
      <c r="G81" s="33"/>
    </row>
    <row r="82" customFormat="false" ht="15" hidden="false" customHeight="true" outlineLevel="0" collapsed="false">
      <c r="A82" s="32" t="s">
        <v>73</v>
      </c>
      <c r="B82" s="32" t="s">
        <v>573</v>
      </c>
      <c r="C82" s="32" t="s">
        <v>617</v>
      </c>
      <c r="D82" s="32" t="n">
        <v>1</v>
      </c>
      <c r="E82" s="33"/>
      <c r="F82" s="32" t="str">
        <f aca="false">IF(E82="","",IF(E82=D82,1,0))</f>
        <v/>
      </c>
      <c r="G82" s="33"/>
    </row>
    <row r="83" customFormat="false" ht="15" hidden="false" customHeight="true" outlineLevel="0" collapsed="false">
      <c r="A83" s="32" t="s">
        <v>73</v>
      </c>
      <c r="B83" s="32" t="s">
        <v>573</v>
      </c>
      <c r="C83" s="32" t="s">
        <v>618</v>
      </c>
      <c r="D83" s="32" t="n">
        <v>1</v>
      </c>
      <c r="E83" s="33"/>
      <c r="F83" s="32" t="str">
        <f aca="false">IF(E83="","",IF(E83=D83,1,0))</f>
        <v/>
      </c>
      <c r="G83" s="33"/>
    </row>
    <row r="84" customFormat="false" ht="15" hidden="false" customHeight="true" outlineLevel="0" collapsed="false">
      <c r="A84" s="32" t="s">
        <v>73</v>
      </c>
      <c r="B84" s="32" t="s">
        <v>573</v>
      </c>
      <c r="C84" s="32" t="s">
        <v>619</v>
      </c>
      <c r="D84" s="32" t="n">
        <v>1</v>
      </c>
      <c r="E84" s="33"/>
      <c r="F84" s="32" t="str">
        <f aca="false">IF(E84="","",IF(E84=D84,1,0))</f>
        <v/>
      </c>
      <c r="G84" s="33"/>
    </row>
    <row r="85" customFormat="false" ht="15" hidden="false" customHeight="true" outlineLevel="0" collapsed="false">
      <c r="A85" s="32" t="s">
        <v>73</v>
      </c>
      <c r="B85" s="32" t="s">
        <v>573</v>
      </c>
      <c r="C85" s="32" t="s">
        <v>620</v>
      </c>
      <c r="D85" s="32" t="n">
        <v>0</v>
      </c>
      <c r="E85" s="33"/>
      <c r="F85" s="32" t="str">
        <f aca="false">IF(E85="","",IF(E85=D85,1,0))</f>
        <v/>
      </c>
      <c r="G85" s="33"/>
    </row>
    <row r="86" customFormat="false" ht="15" hidden="false" customHeight="true" outlineLevel="0" collapsed="false">
      <c r="A86" s="32" t="s">
        <v>73</v>
      </c>
      <c r="B86" s="32" t="s">
        <v>573</v>
      </c>
      <c r="C86" s="32" t="s">
        <v>621</v>
      </c>
      <c r="D86" s="32" t="n">
        <v>0</v>
      </c>
      <c r="E86" s="33"/>
      <c r="F86" s="32" t="str">
        <f aca="false">IF(E86="","",IF(E86=D86,1,0))</f>
        <v/>
      </c>
      <c r="G86" s="33"/>
    </row>
    <row r="87" customFormat="false" ht="15" hidden="false" customHeight="true" outlineLevel="0" collapsed="false">
      <c r="A87" s="32" t="s">
        <v>73</v>
      </c>
      <c r="B87" s="32" t="s">
        <v>573</v>
      </c>
      <c r="C87" s="32" t="s">
        <v>622</v>
      </c>
      <c r="D87" s="32" t="n">
        <v>0</v>
      </c>
      <c r="E87" s="33"/>
      <c r="F87" s="32" t="str">
        <f aca="false">IF(E87="","",IF(E87=D87,1,0))</f>
        <v/>
      </c>
      <c r="G87" s="33"/>
    </row>
    <row r="88" customFormat="false" ht="15" hidden="false" customHeight="true" outlineLevel="0" collapsed="false">
      <c r="A88" s="32" t="s">
        <v>73</v>
      </c>
      <c r="B88" s="32" t="s">
        <v>573</v>
      </c>
      <c r="C88" s="32" t="s">
        <v>623</v>
      </c>
      <c r="D88" s="32" t="n">
        <v>0</v>
      </c>
      <c r="E88" s="33"/>
      <c r="F88" s="32" t="str">
        <f aca="false">IF(E88="","",IF(E88=D88,1,0))</f>
        <v/>
      </c>
      <c r="G88" s="33"/>
    </row>
    <row r="89" customFormat="false" ht="15" hidden="false" customHeight="true" outlineLevel="0" collapsed="false">
      <c r="A89" s="32" t="s">
        <v>73</v>
      </c>
      <c r="B89" s="32" t="s">
        <v>573</v>
      </c>
      <c r="C89" s="32" t="s">
        <v>624</v>
      </c>
      <c r="D89" s="32" t="n">
        <v>0</v>
      </c>
      <c r="E89" s="33"/>
      <c r="F89" s="32" t="str">
        <f aca="false">IF(E89="","",IF(E89=D89,1,0))</f>
        <v/>
      </c>
      <c r="G89" s="33"/>
    </row>
    <row r="90" customFormat="false" ht="15" hidden="false" customHeight="true" outlineLevel="0" collapsed="false">
      <c r="A90" s="32" t="s">
        <v>76</v>
      </c>
      <c r="B90" s="32" t="s">
        <v>580</v>
      </c>
      <c r="C90" s="32" t="s">
        <v>608</v>
      </c>
      <c r="D90" s="32" t="n">
        <v>2</v>
      </c>
      <c r="E90" s="33"/>
      <c r="F90" s="32" t="str">
        <f aca="false">IF(E90="","",IF(E90=D90,1,0))</f>
        <v/>
      </c>
      <c r="G90" s="33"/>
    </row>
    <row r="91" customFormat="false" ht="15" hidden="false" customHeight="true" outlineLevel="0" collapsed="false">
      <c r="A91" s="32" t="s">
        <v>76</v>
      </c>
      <c r="B91" s="32" t="s">
        <v>580</v>
      </c>
      <c r="C91" s="32" t="s">
        <v>609</v>
      </c>
      <c r="D91" s="32" t="n">
        <v>2</v>
      </c>
      <c r="E91" s="33"/>
      <c r="F91" s="32" t="str">
        <f aca="false">IF(E91="","",IF(E91=D91,1,0))</f>
        <v/>
      </c>
      <c r="G91" s="33"/>
    </row>
    <row r="92" customFormat="false" ht="15" hidden="false" customHeight="true" outlineLevel="0" collapsed="false">
      <c r="A92" s="32" t="s">
        <v>76</v>
      </c>
      <c r="B92" s="32" t="s">
        <v>580</v>
      </c>
      <c r="C92" s="32" t="s">
        <v>610</v>
      </c>
      <c r="D92" s="32" t="n">
        <v>2</v>
      </c>
      <c r="E92" s="33"/>
      <c r="F92" s="32" t="str">
        <f aca="false">IF(E92="","",IF(E92=D92,1,0))</f>
        <v/>
      </c>
      <c r="G92" s="33"/>
    </row>
    <row r="93" customFormat="false" ht="15" hidden="false" customHeight="true" outlineLevel="0" collapsed="false">
      <c r="A93" s="32" t="s">
        <v>76</v>
      </c>
      <c r="B93" s="32" t="s">
        <v>580</v>
      </c>
      <c r="C93" s="32" t="s">
        <v>611</v>
      </c>
      <c r="D93" s="32" t="n">
        <v>2</v>
      </c>
      <c r="E93" s="33"/>
      <c r="F93" s="32" t="str">
        <f aca="false">IF(E93="","",IF(E93=D93,1,0))</f>
        <v/>
      </c>
      <c r="G93" s="33"/>
    </row>
    <row r="94" customFormat="false" ht="15" hidden="false" customHeight="true" outlineLevel="0" collapsed="false">
      <c r="A94" s="32" t="s">
        <v>76</v>
      </c>
      <c r="B94" s="32" t="s">
        <v>580</v>
      </c>
      <c r="C94" s="32" t="s">
        <v>612</v>
      </c>
      <c r="D94" s="32" t="n">
        <v>2</v>
      </c>
      <c r="E94" s="33"/>
      <c r="F94" s="32" t="str">
        <f aca="false">IF(E94="","",IF(E94=D94,1,0))</f>
        <v/>
      </c>
      <c r="G94" s="33"/>
    </row>
    <row r="95" customFormat="false" ht="15" hidden="false" customHeight="true" outlineLevel="0" collapsed="false">
      <c r="A95" s="32" t="s">
        <v>76</v>
      </c>
      <c r="B95" s="32" t="s">
        <v>580</v>
      </c>
      <c r="C95" s="32" t="s">
        <v>613</v>
      </c>
      <c r="D95" s="32" t="n">
        <v>2</v>
      </c>
      <c r="E95" s="33"/>
      <c r="F95" s="32" t="str">
        <f aca="false">IF(E95="","",IF(E95=D95,1,0))</f>
        <v/>
      </c>
      <c r="G95" s="33"/>
    </row>
    <row r="96" customFormat="false" ht="15" hidden="false" customHeight="true" outlineLevel="0" collapsed="false">
      <c r="A96" s="32" t="s">
        <v>76</v>
      </c>
      <c r="B96" s="32" t="s">
        <v>580</v>
      </c>
      <c r="C96" s="32" t="s">
        <v>614</v>
      </c>
      <c r="D96" s="32" t="n">
        <v>2</v>
      </c>
      <c r="E96" s="33"/>
      <c r="F96" s="32" t="str">
        <f aca="false">IF(E96="","",IF(E96=D96,1,0))</f>
        <v/>
      </c>
      <c r="G96" s="33"/>
    </row>
    <row r="97" customFormat="false" ht="15" hidden="false" customHeight="true" outlineLevel="0" collapsed="false">
      <c r="A97" s="32" t="s">
        <v>76</v>
      </c>
      <c r="B97" s="32" t="s">
        <v>580</v>
      </c>
      <c r="C97" s="32" t="s">
        <v>615</v>
      </c>
      <c r="D97" s="32" t="n">
        <v>2</v>
      </c>
      <c r="E97" s="33"/>
      <c r="F97" s="32" t="str">
        <f aca="false">IF(E97="","",IF(E97=D97,1,0))</f>
        <v/>
      </c>
      <c r="G97" s="33"/>
    </row>
    <row r="98" customFormat="false" ht="15" hidden="false" customHeight="true" outlineLevel="0" collapsed="false">
      <c r="A98" s="32" t="s">
        <v>76</v>
      </c>
      <c r="B98" s="32" t="s">
        <v>580</v>
      </c>
      <c r="C98" s="32" t="s">
        <v>616</v>
      </c>
      <c r="D98" s="32" t="n">
        <v>2</v>
      </c>
      <c r="E98" s="33"/>
      <c r="F98" s="32" t="str">
        <f aca="false">IF(E98="","",IF(E98=D98,1,0))</f>
        <v/>
      </c>
      <c r="G98" s="33"/>
    </row>
    <row r="99" customFormat="false" ht="15" hidden="false" customHeight="true" outlineLevel="0" collapsed="false">
      <c r="A99" s="32" t="s">
        <v>76</v>
      </c>
      <c r="B99" s="32" t="s">
        <v>580</v>
      </c>
      <c r="C99" s="32" t="s">
        <v>617</v>
      </c>
      <c r="D99" s="32" t="n">
        <v>2</v>
      </c>
      <c r="E99" s="33"/>
      <c r="F99" s="32" t="str">
        <f aca="false">IF(E99="","",IF(E99=D99,1,0))</f>
        <v/>
      </c>
      <c r="G99" s="33"/>
    </row>
    <row r="100" customFormat="false" ht="15" hidden="false" customHeight="true" outlineLevel="0" collapsed="false">
      <c r="A100" s="32" t="s">
        <v>76</v>
      </c>
      <c r="B100" s="32" t="s">
        <v>580</v>
      </c>
      <c r="C100" s="32" t="s">
        <v>618</v>
      </c>
      <c r="D100" s="32" t="n">
        <v>2</v>
      </c>
      <c r="E100" s="33"/>
      <c r="F100" s="32" t="str">
        <f aca="false">IF(E100="","",IF(E100=D100,1,0))</f>
        <v/>
      </c>
      <c r="G100" s="33"/>
    </row>
    <row r="101" customFormat="false" ht="15" hidden="false" customHeight="true" outlineLevel="0" collapsed="false">
      <c r="A101" s="32" t="s">
        <v>76</v>
      </c>
      <c r="B101" s="32" t="s">
        <v>580</v>
      </c>
      <c r="C101" s="32" t="s">
        <v>619</v>
      </c>
      <c r="D101" s="32" t="n">
        <v>2</v>
      </c>
      <c r="E101" s="33"/>
      <c r="F101" s="32" t="str">
        <f aca="false">IF(E101="","",IF(E101=D101,1,0))</f>
        <v/>
      </c>
      <c r="G101" s="33"/>
    </row>
    <row r="102" customFormat="false" ht="15" hidden="false" customHeight="true" outlineLevel="0" collapsed="false">
      <c r="A102" s="32" t="s">
        <v>76</v>
      </c>
      <c r="B102" s="32" t="s">
        <v>580</v>
      </c>
      <c r="C102" s="32" t="s">
        <v>620</v>
      </c>
      <c r="D102" s="32" t="n">
        <v>2</v>
      </c>
      <c r="E102" s="33"/>
      <c r="F102" s="32" t="str">
        <f aca="false">IF(E102="","",IF(E102=D102,1,0))</f>
        <v/>
      </c>
      <c r="G102" s="33"/>
    </row>
    <row r="103" customFormat="false" ht="15" hidden="false" customHeight="true" outlineLevel="0" collapsed="false">
      <c r="A103" s="32" t="s">
        <v>76</v>
      </c>
      <c r="B103" s="32" t="s">
        <v>580</v>
      </c>
      <c r="C103" s="32" t="s">
        <v>621</v>
      </c>
      <c r="D103" s="32" t="n">
        <v>2</v>
      </c>
      <c r="E103" s="33"/>
      <c r="F103" s="32" t="str">
        <f aca="false">IF(E103="","",IF(E103=D103,1,0))</f>
        <v/>
      </c>
      <c r="G103" s="33"/>
    </row>
    <row r="104" customFormat="false" ht="15" hidden="false" customHeight="true" outlineLevel="0" collapsed="false">
      <c r="A104" s="32" t="s">
        <v>76</v>
      </c>
      <c r="B104" s="32" t="s">
        <v>580</v>
      </c>
      <c r="C104" s="32" t="s">
        <v>622</v>
      </c>
      <c r="D104" s="32" t="n">
        <v>2</v>
      </c>
      <c r="E104" s="33"/>
      <c r="F104" s="32" t="str">
        <f aca="false">IF(E104="","",IF(E104=D104,1,0))</f>
        <v/>
      </c>
      <c r="G104" s="33"/>
    </row>
    <row r="105" customFormat="false" ht="15" hidden="false" customHeight="true" outlineLevel="0" collapsed="false">
      <c r="A105" s="32" t="s">
        <v>76</v>
      </c>
      <c r="B105" s="32" t="s">
        <v>580</v>
      </c>
      <c r="C105" s="32" t="s">
        <v>623</v>
      </c>
      <c r="D105" s="32" t="n">
        <v>2</v>
      </c>
      <c r="E105" s="33"/>
      <c r="F105" s="32" t="str">
        <f aca="false">IF(E105="","",IF(E105=D105,1,0))</f>
        <v/>
      </c>
      <c r="G105" s="33"/>
    </row>
    <row r="106" customFormat="false" ht="15" hidden="false" customHeight="true" outlineLevel="0" collapsed="false">
      <c r="A106" s="32" t="s">
        <v>76</v>
      </c>
      <c r="B106" s="32" t="s">
        <v>580</v>
      </c>
      <c r="C106" s="32" t="s">
        <v>624</v>
      </c>
      <c r="D106" s="32" t="n">
        <v>2</v>
      </c>
      <c r="E106" s="33"/>
      <c r="F106" s="32" t="str">
        <f aca="false">IF(E106="","",IF(E106=D106,1,0))</f>
        <v/>
      </c>
      <c r="G106" s="33"/>
    </row>
    <row r="107" customFormat="false" ht="15" hidden="false" customHeight="true" outlineLevel="0" collapsed="false">
      <c r="A107" s="32" t="s">
        <v>78</v>
      </c>
      <c r="B107" s="32" t="s">
        <v>584</v>
      </c>
      <c r="C107" s="32" t="s">
        <v>608</v>
      </c>
      <c r="D107" s="32" t="n">
        <v>0</v>
      </c>
      <c r="E107" s="33"/>
      <c r="F107" s="32" t="str">
        <f aca="false">IF(E107="","",IF(E107=D107,1,0))</f>
        <v/>
      </c>
      <c r="G107" s="33"/>
    </row>
    <row r="108" customFormat="false" ht="15" hidden="false" customHeight="true" outlineLevel="0" collapsed="false">
      <c r="A108" s="32" t="s">
        <v>78</v>
      </c>
      <c r="B108" s="32" t="s">
        <v>584</v>
      </c>
      <c r="C108" s="32" t="s">
        <v>609</v>
      </c>
      <c r="D108" s="32" t="n">
        <v>0</v>
      </c>
      <c r="E108" s="33"/>
      <c r="F108" s="32" t="str">
        <f aca="false">IF(E108="","",IF(E108=D108,1,0))</f>
        <v/>
      </c>
      <c r="G108" s="33"/>
    </row>
    <row r="109" customFormat="false" ht="15" hidden="false" customHeight="true" outlineLevel="0" collapsed="false">
      <c r="A109" s="32" t="s">
        <v>78</v>
      </c>
      <c r="B109" s="32" t="s">
        <v>584</v>
      </c>
      <c r="C109" s="32" t="s">
        <v>610</v>
      </c>
      <c r="D109" s="32" t="n">
        <v>0</v>
      </c>
      <c r="E109" s="33"/>
      <c r="F109" s="32" t="str">
        <f aca="false">IF(E109="","",IF(E109=D109,1,0))</f>
        <v/>
      </c>
      <c r="G109" s="33"/>
    </row>
    <row r="110" customFormat="false" ht="15" hidden="false" customHeight="true" outlineLevel="0" collapsed="false">
      <c r="A110" s="32" t="s">
        <v>78</v>
      </c>
      <c r="B110" s="32" t="s">
        <v>584</v>
      </c>
      <c r="C110" s="32" t="s">
        <v>611</v>
      </c>
      <c r="D110" s="32" t="n">
        <v>0</v>
      </c>
      <c r="E110" s="33"/>
      <c r="F110" s="32" t="str">
        <f aca="false">IF(E110="","",IF(E110=D110,1,0))</f>
        <v/>
      </c>
      <c r="G110" s="33"/>
    </row>
    <row r="111" customFormat="false" ht="15" hidden="false" customHeight="true" outlineLevel="0" collapsed="false">
      <c r="A111" s="32" t="s">
        <v>78</v>
      </c>
      <c r="B111" s="32" t="s">
        <v>584</v>
      </c>
      <c r="C111" s="32" t="s">
        <v>612</v>
      </c>
      <c r="D111" s="32" t="n">
        <v>0</v>
      </c>
      <c r="E111" s="33"/>
      <c r="F111" s="32" t="str">
        <f aca="false">IF(E111="","",IF(E111=D111,1,0))</f>
        <v/>
      </c>
      <c r="G111" s="33"/>
    </row>
    <row r="112" customFormat="false" ht="15" hidden="false" customHeight="true" outlineLevel="0" collapsed="false">
      <c r="A112" s="32" t="s">
        <v>78</v>
      </c>
      <c r="B112" s="32" t="s">
        <v>584</v>
      </c>
      <c r="C112" s="32" t="s">
        <v>613</v>
      </c>
      <c r="D112" s="32" t="n">
        <v>0</v>
      </c>
      <c r="E112" s="33"/>
      <c r="F112" s="32" t="str">
        <f aca="false">IF(E112="","",IF(E112=D112,1,0))</f>
        <v/>
      </c>
      <c r="G112" s="33"/>
    </row>
    <row r="113" customFormat="false" ht="15" hidden="false" customHeight="true" outlineLevel="0" collapsed="false">
      <c r="A113" s="32" t="s">
        <v>78</v>
      </c>
      <c r="B113" s="32" t="s">
        <v>584</v>
      </c>
      <c r="C113" s="32" t="s">
        <v>614</v>
      </c>
      <c r="D113" s="32" t="n">
        <v>0</v>
      </c>
      <c r="E113" s="33"/>
      <c r="F113" s="32" t="str">
        <f aca="false">IF(E113="","",IF(E113=D113,1,0))</f>
        <v/>
      </c>
      <c r="G113" s="33"/>
    </row>
    <row r="114" customFormat="false" ht="15" hidden="false" customHeight="true" outlineLevel="0" collapsed="false">
      <c r="A114" s="32" t="s">
        <v>78</v>
      </c>
      <c r="B114" s="32" t="s">
        <v>584</v>
      </c>
      <c r="C114" s="32" t="s">
        <v>615</v>
      </c>
      <c r="D114" s="32" t="n">
        <v>0</v>
      </c>
      <c r="E114" s="33"/>
      <c r="F114" s="32" t="str">
        <f aca="false">IF(E114="","",IF(E114=D114,1,0))</f>
        <v/>
      </c>
      <c r="G114" s="33"/>
    </row>
    <row r="115" customFormat="false" ht="15" hidden="false" customHeight="true" outlineLevel="0" collapsed="false">
      <c r="A115" s="32" t="s">
        <v>78</v>
      </c>
      <c r="B115" s="32" t="s">
        <v>584</v>
      </c>
      <c r="C115" s="32" t="s">
        <v>616</v>
      </c>
      <c r="D115" s="32" t="n">
        <v>0</v>
      </c>
      <c r="E115" s="33"/>
      <c r="F115" s="32" t="str">
        <f aca="false">IF(E115="","",IF(E115=D115,1,0))</f>
        <v/>
      </c>
      <c r="G115" s="33"/>
    </row>
    <row r="116" customFormat="false" ht="15" hidden="false" customHeight="true" outlineLevel="0" collapsed="false">
      <c r="A116" s="32" t="s">
        <v>78</v>
      </c>
      <c r="B116" s="32" t="s">
        <v>584</v>
      </c>
      <c r="C116" s="32" t="s">
        <v>617</v>
      </c>
      <c r="D116" s="32" t="n">
        <v>0</v>
      </c>
      <c r="E116" s="33"/>
      <c r="F116" s="32" t="str">
        <f aca="false">IF(E116="","",IF(E116=D116,1,0))</f>
        <v/>
      </c>
      <c r="G116" s="33"/>
    </row>
    <row r="117" customFormat="false" ht="15" hidden="false" customHeight="true" outlineLevel="0" collapsed="false">
      <c r="A117" s="32" t="s">
        <v>78</v>
      </c>
      <c r="B117" s="32" t="s">
        <v>584</v>
      </c>
      <c r="C117" s="32" t="s">
        <v>618</v>
      </c>
      <c r="D117" s="32" t="n">
        <v>0</v>
      </c>
      <c r="E117" s="33"/>
      <c r="F117" s="32" t="str">
        <f aca="false">IF(E117="","",IF(E117=D117,1,0))</f>
        <v/>
      </c>
      <c r="G117" s="33"/>
    </row>
    <row r="118" customFormat="false" ht="15" hidden="false" customHeight="true" outlineLevel="0" collapsed="false">
      <c r="A118" s="32" t="s">
        <v>78</v>
      </c>
      <c r="B118" s="32" t="s">
        <v>584</v>
      </c>
      <c r="C118" s="32" t="s">
        <v>619</v>
      </c>
      <c r="D118" s="32" t="n">
        <v>0</v>
      </c>
      <c r="E118" s="33"/>
      <c r="F118" s="32" t="str">
        <f aca="false">IF(E118="","",IF(E118=D118,1,0))</f>
        <v/>
      </c>
      <c r="G118" s="33"/>
    </row>
    <row r="119" customFormat="false" ht="15" hidden="false" customHeight="true" outlineLevel="0" collapsed="false">
      <c r="A119" s="32" t="s">
        <v>78</v>
      </c>
      <c r="B119" s="32" t="s">
        <v>584</v>
      </c>
      <c r="C119" s="32" t="s">
        <v>620</v>
      </c>
      <c r="D119" s="32" t="n">
        <v>0</v>
      </c>
      <c r="E119" s="33"/>
      <c r="F119" s="32" t="str">
        <f aca="false">IF(E119="","",IF(E119=D119,1,0))</f>
        <v/>
      </c>
      <c r="G119" s="33"/>
    </row>
    <row r="120" customFormat="false" ht="15" hidden="false" customHeight="true" outlineLevel="0" collapsed="false">
      <c r="A120" s="32" t="s">
        <v>78</v>
      </c>
      <c r="B120" s="32" t="s">
        <v>584</v>
      </c>
      <c r="C120" s="32" t="s">
        <v>621</v>
      </c>
      <c r="D120" s="32" t="n">
        <v>0</v>
      </c>
      <c r="E120" s="33"/>
      <c r="F120" s="32" t="str">
        <f aca="false">IF(E120="","",IF(E120=D120,1,0))</f>
        <v/>
      </c>
      <c r="G120" s="33"/>
    </row>
    <row r="121" customFormat="false" ht="15" hidden="false" customHeight="true" outlineLevel="0" collapsed="false">
      <c r="A121" s="32" t="s">
        <v>78</v>
      </c>
      <c r="B121" s="32" t="s">
        <v>584</v>
      </c>
      <c r="C121" s="32" t="s">
        <v>622</v>
      </c>
      <c r="D121" s="32" t="n">
        <v>0</v>
      </c>
      <c r="E121" s="33"/>
      <c r="F121" s="32" t="str">
        <f aca="false">IF(E121="","",IF(E121=D121,1,0))</f>
        <v/>
      </c>
      <c r="G121" s="33"/>
    </row>
    <row r="122" customFormat="false" ht="15" hidden="false" customHeight="true" outlineLevel="0" collapsed="false">
      <c r="A122" s="32" t="s">
        <v>78</v>
      </c>
      <c r="B122" s="32" t="s">
        <v>584</v>
      </c>
      <c r="C122" s="32" t="s">
        <v>623</v>
      </c>
      <c r="D122" s="32" t="n">
        <v>0</v>
      </c>
      <c r="E122" s="33"/>
      <c r="F122" s="32" t="str">
        <f aca="false">IF(E122="","",IF(E122=D122,1,0))</f>
        <v/>
      </c>
      <c r="G122" s="33"/>
    </row>
    <row r="123" customFormat="false" ht="15" hidden="false" customHeight="true" outlineLevel="0" collapsed="false">
      <c r="A123" s="32" t="s">
        <v>78</v>
      </c>
      <c r="B123" s="32" t="s">
        <v>584</v>
      </c>
      <c r="C123" s="32" t="s">
        <v>624</v>
      </c>
      <c r="D123" s="32" t="n">
        <v>0</v>
      </c>
      <c r="E123" s="33"/>
      <c r="F123" s="32" t="str">
        <f aca="false">IF(E123="","",IF(E123=D123,1,0))</f>
        <v/>
      </c>
      <c r="G123" s="33"/>
    </row>
    <row r="124" customFormat="false" ht="15" hidden="false" customHeight="true" outlineLevel="0" collapsed="false">
      <c r="A124" s="32" t="s">
        <v>80</v>
      </c>
      <c r="B124" s="32" t="s">
        <v>587</v>
      </c>
      <c r="C124" s="32" t="s">
        <v>608</v>
      </c>
      <c r="D124" s="32" t="n">
        <v>2</v>
      </c>
      <c r="E124" s="33"/>
      <c r="F124" s="32" t="str">
        <f aca="false">IF(E124="","",IF(E124=D124,1,0))</f>
        <v/>
      </c>
      <c r="G124" s="33"/>
    </row>
    <row r="125" customFormat="false" ht="15" hidden="false" customHeight="true" outlineLevel="0" collapsed="false">
      <c r="A125" s="32" t="s">
        <v>80</v>
      </c>
      <c r="B125" s="32" t="s">
        <v>587</v>
      </c>
      <c r="C125" s="32" t="s">
        <v>609</v>
      </c>
      <c r="D125" s="32" t="n">
        <v>2</v>
      </c>
      <c r="E125" s="33"/>
      <c r="F125" s="32" t="str">
        <f aca="false">IF(E125="","",IF(E125=D125,1,0))</f>
        <v/>
      </c>
      <c r="G125" s="33"/>
    </row>
    <row r="126" customFormat="false" ht="15" hidden="false" customHeight="true" outlineLevel="0" collapsed="false">
      <c r="A126" s="32" t="s">
        <v>80</v>
      </c>
      <c r="B126" s="32" t="s">
        <v>587</v>
      </c>
      <c r="C126" s="32" t="s">
        <v>610</v>
      </c>
      <c r="D126" s="32" t="n">
        <v>2</v>
      </c>
      <c r="E126" s="33"/>
      <c r="F126" s="32" t="str">
        <f aca="false">IF(E126="","",IF(E126=D126,1,0))</f>
        <v/>
      </c>
      <c r="G126" s="33"/>
    </row>
    <row r="127" customFormat="false" ht="15" hidden="false" customHeight="true" outlineLevel="0" collapsed="false">
      <c r="A127" s="32" t="s">
        <v>80</v>
      </c>
      <c r="B127" s="32" t="s">
        <v>587</v>
      </c>
      <c r="C127" s="32" t="s">
        <v>611</v>
      </c>
      <c r="D127" s="32" t="n">
        <v>2</v>
      </c>
      <c r="E127" s="33"/>
      <c r="F127" s="32" t="str">
        <f aca="false">IF(E127="","",IF(E127=D127,1,0))</f>
        <v/>
      </c>
      <c r="G127" s="33"/>
    </row>
    <row r="128" customFormat="false" ht="15" hidden="false" customHeight="true" outlineLevel="0" collapsed="false">
      <c r="A128" s="32" t="s">
        <v>80</v>
      </c>
      <c r="B128" s="32" t="s">
        <v>587</v>
      </c>
      <c r="C128" s="32" t="s">
        <v>612</v>
      </c>
      <c r="D128" s="32" t="n">
        <v>2</v>
      </c>
      <c r="E128" s="33"/>
      <c r="F128" s="32" t="str">
        <f aca="false">IF(E128="","",IF(E128=D128,1,0))</f>
        <v/>
      </c>
      <c r="G128" s="33"/>
    </row>
    <row r="129" customFormat="false" ht="15" hidden="false" customHeight="true" outlineLevel="0" collapsed="false">
      <c r="A129" s="32" t="s">
        <v>80</v>
      </c>
      <c r="B129" s="32" t="s">
        <v>587</v>
      </c>
      <c r="C129" s="32" t="s">
        <v>613</v>
      </c>
      <c r="D129" s="32" t="n">
        <v>2</v>
      </c>
      <c r="E129" s="33"/>
      <c r="F129" s="32" t="str">
        <f aca="false">IF(E129="","",IF(E129=D129,1,0))</f>
        <v/>
      </c>
      <c r="G129" s="33"/>
    </row>
    <row r="130" customFormat="false" ht="15" hidden="false" customHeight="true" outlineLevel="0" collapsed="false">
      <c r="A130" s="32" t="s">
        <v>80</v>
      </c>
      <c r="B130" s="32" t="s">
        <v>587</v>
      </c>
      <c r="C130" s="32" t="s">
        <v>614</v>
      </c>
      <c r="D130" s="32" t="n">
        <v>2</v>
      </c>
      <c r="E130" s="33"/>
      <c r="F130" s="32" t="str">
        <f aca="false">IF(E130="","",IF(E130=D130,1,0))</f>
        <v/>
      </c>
      <c r="G130" s="33"/>
    </row>
    <row r="131" customFormat="false" ht="15" hidden="false" customHeight="true" outlineLevel="0" collapsed="false">
      <c r="A131" s="32" t="s">
        <v>80</v>
      </c>
      <c r="B131" s="32" t="s">
        <v>587</v>
      </c>
      <c r="C131" s="32" t="s">
        <v>615</v>
      </c>
      <c r="D131" s="32" t="n">
        <v>2</v>
      </c>
      <c r="E131" s="33"/>
      <c r="F131" s="32" t="str">
        <f aca="false">IF(E131="","",IF(E131=D131,1,0))</f>
        <v/>
      </c>
      <c r="G131" s="33"/>
    </row>
    <row r="132" customFormat="false" ht="15" hidden="false" customHeight="true" outlineLevel="0" collapsed="false">
      <c r="A132" s="32" t="s">
        <v>80</v>
      </c>
      <c r="B132" s="32" t="s">
        <v>587</v>
      </c>
      <c r="C132" s="32" t="s">
        <v>616</v>
      </c>
      <c r="D132" s="32" t="n">
        <v>2</v>
      </c>
      <c r="E132" s="33"/>
      <c r="F132" s="32" t="str">
        <f aca="false">IF(E132="","",IF(E132=D132,1,0))</f>
        <v/>
      </c>
      <c r="G132" s="33"/>
    </row>
    <row r="133" customFormat="false" ht="15" hidden="false" customHeight="true" outlineLevel="0" collapsed="false">
      <c r="A133" s="32" t="s">
        <v>80</v>
      </c>
      <c r="B133" s="32" t="s">
        <v>587</v>
      </c>
      <c r="C133" s="32" t="s">
        <v>617</v>
      </c>
      <c r="D133" s="32" t="n">
        <v>2</v>
      </c>
      <c r="E133" s="33"/>
      <c r="F133" s="32" t="str">
        <f aca="false">IF(E133="","",IF(E133=D133,1,0))</f>
        <v/>
      </c>
      <c r="G133" s="33"/>
    </row>
    <row r="134" customFormat="false" ht="15" hidden="false" customHeight="true" outlineLevel="0" collapsed="false">
      <c r="A134" s="32" t="s">
        <v>80</v>
      </c>
      <c r="B134" s="32" t="s">
        <v>587</v>
      </c>
      <c r="C134" s="32" t="s">
        <v>618</v>
      </c>
      <c r="D134" s="32" t="n">
        <v>2</v>
      </c>
      <c r="E134" s="33"/>
      <c r="F134" s="32" t="str">
        <f aca="false">IF(E134="","",IF(E134=D134,1,0))</f>
        <v/>
      </c>
      <c r="G134" s="33"/>
    </row>
    <row r="135" customFormat="false" ht="15" hidden="false" customHeight="true" outlineLevel="0" collapsed="false">
      <c r="A135" s="32" t="s">
        <v>80</v>
      </c>
      <c r="B135" s="32" t="s">
        <v>587</v>
      </c>
      <c r="C135" s="32" t="s">
        <v>619</v>
      </c>
      <c r="D135" s="32" t="n">
        <v>2</v>
      </c>
      <c r="E135" s="33"/>
      <c r="F135" s="32" t="str">
        <f aca="false">IF(E135="","",IF(E135=D135,1,0))</f>
        <v/>
      </c>
      <c r="G135" s="33"/>
    </row>
    <row r="136" customFormat="false" ht="15" hidden="false" customHeight="true" outlineLevel="0" collapsed="false">
      <c r="A136" s="32" t="s">
        <v>80</v>
      </c>
      <c r="B136" s="32" t="s">
        <v>587</v>
      </c>
      <c r="C136" s="32" t="s">
        <v>620</v>
      </c>
      <c r="D136" s="32" t="n">
        <v>2</v>
      </c>
      <c r="E136" s="33"/>
      <c r="F136" s="32" t="str">
        <f aca="false">IF(E136="","",IF(E136=D136,1,0))</f>
        <v/>
      </c>
      <c r="G136" s="33"/>
    </row>
    <row r="137" customFormat="false" ht="15" hidden="false" customHeight="true" outlineLevel="0" collapsed="false">
      <c r="A137" s="32" t="s">
        <v>80</v>
      </c>
      <c r="B137" s="32" t="s">
        <v>587</v>
      </c>
      <c r="C137" s="32" t="s">
        <v>621</v>
      </c>
      <c r="D137" s="32" t="n">
        <v>2</v>
      </c>
      <c r="E137" s="33"/>
      <c r="F137" s="32" t="str">
        <f aca="false">IF(E137="","",IF(E137=D137,1,0))</f>
        <v/>
      </c>
      <c r="G137" s="33"/>
    </row>
    <row r="138" customFormat="false" ht="15" hidden="false" customHeight="true" outlineLevel="0" collapsed="false">
      <c r="A138" s="32" t="s">
        <v>80</v>
      </c>
      <c r="B138" s="32" t="s">
        <v>587</v>
      </c>
      <c r="C138" s="32" t="s">
        <v>622</v>
      </c>
      <c r="D138" s="32" t="n">
        <v>2</v>
      </c>
      <c r="E138" s="33"/>
      <c r="F138" s="32" t="str">
        <f aca="false">IF(E138="","",IF(E138=D138,1,0))</f>
        <v/>
      </c>
      <c r="G138" s="33"/>
    </row>
    <row r="139" customFormat="false" ht="15" hidden="false" customHeight="true" outlineLevel="0" collapsed="false">
      <c r="A139" s="32" t="s">
        <v>80</v>
      </c>
      <c r="B139" s="32" t="s">
        <v>587</v>
      </c>
      <c r="C139" s="32" t="s">
        <v>623</v>
      </c>
      <c r="D139" s="32" t="n">
        <v>2</v>
      </c>
      <c r="E139" s="33"/>
      <c r="F139" s="32" t="str">
        <f aca="false">IF(E139="","",IF(E139=D139,1,0))</f>
        <v/>
      </c>
      <c r="G139" s="33"/>
    </row>
    <row r="140" customFormat="false" ht="15" hidden="false" customHeight="true" outlineLevel="0" collapsed="false">
      <c r="A140" s="32" t="s">
        <v>80</v>
      </c>
      <c r="B140" s="32" t="s">
        <v>587</v>
      </c>
      <c r="C140" s="32" t="s">
        <v>624</v>
      </c>
      <c r="D140" s="32" t="n">
        <v>2</v>
      </c>
      <c r="E140" s="33"/>
      <c r="F140" s="32" t="str">
        <f aca="false">IF(E140="","",IF(E140=D140,1,0))</f>
        <v/>
      </c>
      <c r="G140" s="33"/>
    </row>
    <row r="141" customFormat="false" ht="15.75" hidden="false" customHeight="true" outlineLevel="0" collapsed="false"/>
    <row r="142" customFormat="false" ht="15" hidden="false" customHeight="true" outlineLevel="0" collapsed="false">
      <c r="A142" s="27" t="s">
        <v>625</v>
      </c>
      <c r="B142" s="27"/>
      <c r="C142" s="27"/>
      <c r="D142" s="29" t="n">
        <f aca="false">COUNT(E5:E140)</f>
        <v>0</v>
      </c>
    </row>
    <row r="143" customFormat="false" ht="15" hidden="false" customHeight="true" outlineLevel="0" collapsed="false">
      <c r="A143" s="27" t="s">
        <v>626</v>
      </c>
      <c r="B143" s="27"/>
      <c r="C143" s="27"/>
      <c r="D143" s="34" t="str">
        <f aca="false">IFERROR(SUM(F5:F140)/COUNT(E5:E140),"")</f>
        <v/>
      </c>
    </row>
    <row r="144" customFormat="false" ht="15" hidden="false" customHeight="true" outlineLevel="0" collapsed="false">
      <c r="A144" s="27" t="s">
        <v>627</v>
      </c>
      <c r="B144" s="27"/>
      <c r="C144" s="27"/>
      <c r="D144" s="34" t="str">
        <f aca="false">IFERROR((COUNTIFS(D5:D140,0,E5:E140,"&lt;&gt;")/COUNT(E5:E140))*(COUNTIF(E5:E140,0)/COUNT(E5:E140))+(COUNTIFS(D5:D140,1,E5:E140,"&lt;&gt;")/COUNT(E5:E140))*(COUNTIF(E5:E140,1)/COUNT(E5:E140))+(COUNTIFS(D5:D140,2,E5:E140,"&lt;&gt;")/COUNT(E5:E140))*(COUNTIF(E5:E140,2)/COUNT(E5:E140)),"")</f>
        <v/>
      </c>
    </row>
    <row r="145" customFormat="false" ht="15" hidden="false" customHeight="true" outlineLevel="0" collapsed="false">
      <c r="A145" s="27" t="s">
        <v>628</v>
      </c>
      <c r="B145" s="27"/>
      <c r="C145" s="27"/>
      <c r="D145" s="34" t="str">
        <f aca="false">IFERROR((D143-D144)/(1-D144),"")</f>
        <v/>
      </c>
    </row>
    <row r="146" customFormat="false" ht="15" hidden="false" customHeight="true" outlineLevel="0" collapsed="false">
      <c r="A146" s="3" t="s">
        <v>629</v>
      </c>
    </row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42:C142"/>
    <mergeCell ref="A143:C143"/>
    <mergeCell ref="A144:C144"/>
    <mergeCell ref="A145:C145"/>
  </mergeCells>
  <dataValidations count="1">
    <dataValidation allowBlank="true" errorStyle="stop" operator="between" showDropDown="false" showErrorMessage="false" showInputMessage="false" sqref="E5:E140" type="list">
      <formula1>"0,1,2"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16"/>
    <col collapsed="false" customWidth="true" hidden="false" outlineLevel="0" max="4" min="3" style="1" width="40"/>
    <col collapsed="false" customWidth="true" hidden="false" outlineLevel="0" max="5" min="5" style="1" width="70"/>
  </cols>
  <sheetData>
    <row r="1" customFormat="false" ht="79.5" hidden="false" customHeight="true" outlineLevel="0" collapsed="false">
      <c r="A1" s="35" t="s">
        <v>630</v>
      </c>
      <c r="B1" s="35"/>
      <c r="C1" s="35"/>
      <c r="D1" s="35"/>
      <c r="E1" s="35"/>
    </row>
    <row r="2" customFormat="false" ht="113.25" hidden="false" customHeight="true" outlineLevel="0" collapsed="false">
      <c r="A2" s="36" t="s">
        <v>631</v>
      </c>
      <c r="B2" s="36"/>
      <c r="C2" s="36"/>
      <c r="D2" s="36"/>
      <c r="E2" s="36"/>
    </row>
    <row r="3" customFormat="false" ht="15" hidden="false" customHeight="true" outlineLevel="0" collapsed="false">
      <c r="A3" s="36"/>
      <c r="B3" s="36"/>
      <c r="C3" s="36"/>
      <c r="D3" s="36"/>
      <c r="E3" s="36"/>
    </row>
    <row r="4" customFormat="false" ht="15" hidden="false" customHeight="true" outlineLevel="0" collapsed="false">
      <c r="A4" s="35" t="s">
        <v>632</v>
      </c>
      <c r="B4" s="35" t="s">
        <v>633</v>
      </c>
      <c r="C4" s="35" t="s">
        <v>634</v>
      </c>
      <c r="D4" s="35" t="s">
        <v>635</v>
      </c>
      <c r="E4" s="35" t="s">
        <v>636</v>
      </c>
    </row>
    <row r="5" customFormat="false" ht="34.5" hidden="false" customHeight="true" outlineLevel="0" collapsed="false">
      <c r="A5" s="36" t="s">
        <v>637</v>
      </c>
      <c r="B5" s="36" t="s">
        <v>638</v>
      </c>
      <c r="C5" s="36" t="s">
        <v>37</v>
      </c>
      <c r="D5" s="36" t="s">
        <v>24</v>
      </c>
      <c r="E5" s="36" t="s">
        <v>639</v>
      </c>
    </row>
    <row r="6" customFormat="false" ht="34.5" hidden="false" customHeight="true" outlineLevel="0" collapsed="false">
      <c r="A6" s="36" t="s">
        <v>637</v>
      </c>
      <c r="B6" s="36" t="s">
        <v>640</v>
      </c>
      <c r="C6" s="36" t="s">
        <v>37</v>
      </c>
      <c r="D6" s="36" t="s">
        <v>36</v>
      </c>
      <c r="E6" s="36" t="s">
        <v>641</v>
      </c>
    </row>
    <row r="7" customFormat="false" ht="45.75" hidden="false" customHeight="true" outlineLevel="0" collapsed="false">
      <c r="A7" s="36" t="s">
        <v>637</v>
      </c>
      <c r="B7" s="36" t="s">
        <v>642</v>
      </c>
      <c r="C7" s="36" t="s">
        <v>37</v>
      </c>
      <c r="D7" s="36" t="s">
        <v>36</v>
      </c>
      <c r="E7" s="36" t="s">
        <v>643</v>
      </c>
    </row>
    <row r="8" customFormat="false" ht="34.5" hidden="false" customHeight="true" outlineLevel="0" collapsed="false">
      <c r="A8" s="36" t="s">
        <v>637</v>
      </c>
      <c r="B8" s="36" t="s">
        <v>644</v>
      </c>
      <c r="C8" s="36" t="s">
        <v>37</v>
      </c>
      <c r="D8" s="36" t="s">
        <v>36</v>
      </c>
      <c r="E8" s="36" t="s">
        <v>645</v>
      </c>
    </row>
    <row r="9" customFormat="false" ht="45.75" hidden="false" customHeight="true" outlineLevel="0" collapsed="false">
      <c r="A9" s="36" t="s">
        <v>637</v>
      </c>
      <c r="B9" s="36" t="s">
        <v>646</v>
      </c>
      <c r="C9" s="36" t="s">
        <v>37</v>
      </c>
      <c r="D9" s="36" t="s">
        <v>22</v>
      </c>
      <c r="E9" s="36" t="s">
        <v>647</v>
      </c>
    </row>
    <row r="10" customFormat="false" ht="34.5" hidden="false" customHeight="true" outlineLevel="0" collapsed="false">
      <c r="A10" s="36" t="s">
        <v>637</v>
      </c>
      <c r="B10" s="36" t="s">
        <v>648</v>
      </c>
      <c r="C10" s="36" t="s">
        <v>37</v>
      </c>
      <c r="D10" s="36" t="s">
        <v>36</v>
      </c>
      <c r="E10" s="36" t="s">
        <v>649</v>
      </c>
    </row>
    <row r="11" customFormat="false" ht="15" hidden="false" customHeight="true" outlineLevel="0" collapsed="false">
      <c r="A11" s="36" t="s">
        <v>637</v>
      </c>
      <c r="B11" s="36" t="s">
        <v>650</v>
      </c>
      <c r="C11" s="36" t="str">
        <f aca="false">COUNTIF(E5:E20,"Sustantiva")&amp;" sust. · "&amp;COUNTIF(E5:E20,"Retórica")&amp;" ret."</f>
        <v>0 sust. · 0 ret.</v>
      </c>
      <c r="D11" s="36" t="s">
        <v>462</v>
      </c>
      <c r="E11" s="36" t="s">
        <v>651</v>
      </c>
    </row>
    <row r="12" customFormat="false" ht="15" hidden="false" customHeight="true" outlineLevel="0" collapsed="false">
      <c r="A12" s="36" t="s">
        <v>637</v>
      </c>
      <c r="B12" s="36" t="s">
        <v>652</v>
      </c>
      <c r="C12" s="36" t="str">
        <f aca="false">COUNTIF(F5:F20,"Sustantiva")&amp;" sust. · "&amp;COUNTIF(F5:F20,"Retórica")&amp;" ret."</f>
        <v>0 sust. · 0 ret.</v>
      </c>
      <c r="D12" s="36" t="s">
        <v>463</v>
      </c>
      <c r="E12" s="36" t="s">
        <v>653</v>
      </c>
    </row>
    <row r="13" customFormat="false" ht="23.25" hidden="false" customHeight="true" outlineLevel="0" collapsed="false">
      <c r="A13" s="36" t="s">
        <v>654</v>
      </c>
      <c r="B13" s="36" t="s">
        <v>655</v>
      </c>
      <c r="C13" s="36" t="s">
        <v>656</v>
      </c>
      <c r="D13" s="36" t="s">
        <v>386</v>
      </c>
      <c r="E13" s="36" t="s">
        <v>657</v>
      </c>
    </row>
    <row r="14" customFormat="false" ht="15" hidden="false" customHeight="true" outlineLevel="0" collapsed="false">
      <c r="A14" s="36" t="s">
        <v>654</v>
      </c>
      <c r="B14" s="36" t="s">
        <v>658</v>
      </c>
      <c r="C14" s="36" t="s">
        <v>37</v>
      </c>
      <c r="D14" s="36" t="s">
        <v>24</v>
      </c>
      <c r="E14" s="36" t="s">
        <v>659</v>
      </c>
    </row>
    <row r="15" customFormat="false" ht="57" hidden="false" customHeight="true" outlineLevel="0" collapsed="false">
      <c r="A15" s="36" t="s">
        <v>654</v>
      </c>
      <c r="B15" s="36" t="s">
        <v>660</v>
      </c>
      <c r="C15" s="36" t="s">
        <v>661</v>
      </c>
      <c r="D15" s="36" t="s">
        <v>387</v>
      </c>
      <c r="E15" s="36" t="s">
        <v>662</v>
      </c>
    </row>
    <row r="16" customFormat="false" ht="45.75" hidden="false" customHeight="true" outlineLevel="0" collapsed="false">
      <c r="A16" s="36" t="s">
        <v>654</v>
      </c>
      <c r="B16" s="36" t="s">
        <v>663</v>
      </c>
      <c r="C16" s="36" t="s">
        <v>664</v>
      </c>
      <c r="D16" s="36" t="s">
        <v>415</v>
      </c>
      <c r="E16" s="36" t="s">
        <v>657</v>
      </c>
    </row>
    <row r="17" customFormat="false" ht="15" hidden="false" customHeight="true" outlineLevel="0" collapsed="false">
      <c r="A17" s="36" t="s">
        <v>654</v>
      </c>
      <c r="B17" s="36" t="s">
        <v>665</v>
      </c>
      <c r="C17" s="36" t="s">
        <v>37</v>
      </c>
      <c r="D17" s="36" t="s">
        <v>36</v>
      </c>
      <c r="E17" s="36" t="s">
        <v>659</v>
      </c>
    </row>
    <row r="18" customFormat="false" ht="34.5" hidden="false" customHeight="true" outlineLevel="0" collapsed="false">
      <c r="A18" s="36" t="s">
        <v>654</v>
      </c>
      <c r="B18" s="36" t="s">
        <v>666</v>
      </c>
      <c r="C18" s="36" t="s">
        <v>667</v>
      </c>
      <c r="D18" s="36" t="s">
        <v>417</v>
      </c>
      <c r="E18" s="36" t="s">
        <v>662</v>
      </c>
    </row>
    <row r="19" customFormat="false" ht="23.25" hidden="false" customHeight="true" outlineLevel="0" collapsed="false">
      <c r="A19" s="36" t="s">
        <v>654</v>
      </c>
      <c r="B19" s="36" t="s">
        <v>668</v>
      </c>
      <c r="C19" s="36" t="s">
        <v>669</v>
      </c>
      <c r="D19" s="36" t="s">
        <v>425</v>
      </c>
      <c r="E19" s="36" t="s">
        <v>657</v>
      </c>
    </row>
    <row r="20" customFormat="false" ht="15" hidden="false" customHeight="true" outlineLevel="0" collapsed="false">
      <c r="A20" s="36" t="s">
        <v>654</v>
      </c>
      <c r="B20" s="36" t="s">
        <v>670</v>
      </c>
      <c r="C20" s="36" t="s">
        <v>37</v>
      </c>
      <c r="D20" s="36" t="s">
        <v>36</v>
      </c>
      <c r="E20" s="36" t="s">
        <v>659</v>
      </c>
    </row>
    <row r="21" customFormat="false" ht="68.25" hidden="false" customHeight="true" outlineLevel="0" collapsed="false">
      <c r="A21" s="36" t="s">
        <v>654</v>
      </c>
      <c r="B21" s="36" t="s">
        <v>671</v>
      </c>
      <c r="C21" s="36" t="s">
        <v>672</v>
      </c>
      <c r="D21" s="36" t="s">
        <v>673</v>
      </c>
      <c r="E21" s="36" t="s">
        <v>662</v>
      </c>
    </row>
    <row r="22" customFormat="false" ht="23.25" hidden="false" customHeight="true" outlineLevel="0" collapsed="false">
      <c r="A22" s="36" t="s">
        <v>654</v>
      </c>
      <c r="B22" s="36" t="s">
        <v>674</v>
      </c>
      <c r="C22" s="36" t="s">
        <v>675</v>
      </c>
      <c r="D22" s="36" t="s">
        <v>676</v>
      </c>
      <c r="E22" s="36" t="s">
        <v>657</v>
      </c>
    </row>
    <row r="23" customFormat="false" ht="15" hidden="false" customHeight="true" outlineLevel="0" collapsed="false">
      <c r="A23" s="36" t="s">
        <v>654</v>
      </c>
      <c r="B23" s="36" t="s">
        <v>677</v>
      </c>
      <c r="C23" s="36" t="s">
        <v>37</v>
      </c>
      <c r="D23" s="36" t="s">
        <v>36</v>
      </c>
      <c r="E23" s="36" t="s">
        <v>659</v>
      </c>
    </row>
    <row r="24" customFormat="false" ht="23.25" hidden="false" customHeight="true" outlineLevel="0" collapsed="false">
      <c r="A24" s="36" t="s">
        <v>654</v>
      </c>
      <c r="B24" s="36" t="s">
        <v>678</v>
      </c>
      <c r="C24" s="36" t="s">
        <v>679</v>
      </c>
      <c r="D24" s="36" t="s">
        <v>450</v>
      </c>
      <c r="E24" s="36" t="s">
        <v>662</v>
      </c>
    </row>
    <row r="25" customFormat="false" ht="34.5" hidden="false" customHeight="true" outlineLevel="0" collapsed="false">
      <c r="A25" s="36" t="s">
        <v>654</v>
      </c>
      <c r="B25" s="36" t="s">
        <v>680</v>
      </c>
      <c r="C25" s="36" t="s">
        <v>681</v>
      </c>
      <c r="D25" s="36" t="s">
        <v>441</v>
      </c>
      <c r="E25" s="36" t="s">
        <v>657</v>
      </c>
    </row>
    <row r="26" customFormat="false" ht="15" hidden="false" customHeight="true" outlineLevel="0" collapsed="false">
      <c r="A26" s="36" t="s">
        <v>654</v>
      </c>
      <c r="B26" s="36" t="s">
        <v>682</v>
      </c>
      <c r="C26" s="36" t="s">
        <v>37</v>
      </c>
      <c r="D26" s="36" t="s">
        <v>22</v>
      </c>
      <c r="E26" s="36" t="s">
        <v>659</v>
      </c>
    </row>
    <row r="27" customFormat="false" ht="34.5" hidden="false" customHeight="true" outlineLevel="0" collapsed="false">
      <c r="A27" s="36" t="s">
        <v>654</v>
      </c>
      <c r="B27" s="36" t="s">
        <v>683</v>
      </c>
      <c r="C27" s="36" t="s">
        <v>684</v>
      </c>
      <c r="D27" s="36" t="s">
        <v>442</v>
      </c>
      <c r="E27" s="36" t="s">
        <v>662</v>
      </c>
    </row>
    <row r="28" customFormat="false" ht="23.25" hidden="false" customHeight="true" outlineLevel="0" collapsed="false">
      <c r="A28" s="36" t="s">
        <v>654</v>
      </c>
      <c r="B28" s="36" t="s">
        <v>685</v>
      </c>
      <c r="C28" s="36" t="s">
        <v>686</v>
      </c>
      <c r="D28" s="36" t="s">
        <v>448</v>
      </c>
      <c r="E28" s="36" t="s">
        <v>657</v>
      </c>
    </row>
    <row r="29" customFormat="false" ht="15" hidden="false" customHeight="true" outlineLevel="0" collapsed="false">
      <c r="A29" s="36" t="s">
        <v>654</v>
      </c>
      <c r="B29" s="36" t="s">
        <v>687</v>
      </c>
      <c r="C29" s="36" t="s">
        <v>37</v>
      </c>
      <c r="D29" s="36" t="s">
        <v>36</v>
      </c>
      <c r="E29" s="36" t="s">
        <v>659</v>
      </c>
    </row>
    <row r="30" customFormat="false" ht="23.25" hidden="false" customHeight="true" outlineLevel="0" collapsed="false">
      <c r="A30" s="36" t="s">
        <v>654</v>
      </c>
      <c r="B30" s="36" t="s">
        <v>688</v>
      </c>
      <c r="C30" s="36" t="s">
        <v>689</v>
      </c>
      <c r="D30" s="36" t="s">
        <v>450</v>
      </c>
      <c r="E30" s="36" t="s">
        <v>662</v>
      </c>
    </row>
    <row r="31" customFormat="false" ht="23.25" hidden="false" customHeight="true" outlineLevel="0" collapsed="false">
      <c r="A31" s="36" t="s">
        <v>690</v>
      </c>
      <c r="B31" s="36" t="s">
        <v>691</v>
      </c>
      <c r="C31" s="36" t="s">
        <v>692</v>
      </c>
      <c r="D31" s="36" t="s">
        <v>556</v>
      </c>
      <c r="E31" s="36" t="s">
        <v>657</v>
      </c>
    </row>
    <row r="32" customFormat="false" ht="15" hidden="false" customHeight="true" outlineLevel="0" collapsed="false">
      <c r="A32" s="36" t="s">
        <v>690</v>
      </c>
      <c r="B32" s="36" t="s">
        <v>655</v>
      </c>
      <c r="C32" s="36" t="s">
        <v>37</v>
      </c>
      <c r="D32" s="36" t="s">
        <v>557</v>
      </c>
      <c r="E32" s="36" t="s">
        <v>693</v>
      </c>
    </row>
    <row r="33" customFormat="false" ht="45.75" hidden="false" customHeight="true" outlineLevel="0" collapsed="false">
      <c r="A33" s="36" t="s">
        <v>690</v>
      </c>
      <c r="B33" s="36" t="s">
        <v>694</v>
      </c>
      <c r="C33" s="36" t="s">
        <v>695</v>
      </c>
      <c r="D33" s="36" t="s">
        <v>558</v>
      </c>
      <c r="E33" s="36" t="s">
        <v>696</v>
      </c>
    </row>
    <row r="34" customFormat="false" ht="23.25" hidden="false" customHeight="true" outlineLevel="0" collapsed="false">
      <c r="A34" s="36" t="s">
        <v>690</v>
      </c>
      <c r="B34" s="36" t="s">
        <v>697</v>
      </c>
      <c r="C34" s="36" t="s">
        <v>698</v>
      </c>
      <c r="D34" s="36" t="s">
        <v>571</v>
      </c>
      <c r="E34" s="36" t="s">
        <v>657</v>
      </c>
    </row>
    <row r="35" customFormat="false" ht="15" hidden="false" customHeight="true" outlineLevel="0" collapsed="false">
      <c r="A35" s="36" t="s">
        <v>690</v>
      </c>
      <c r="B35" s="36" t="s">
        <v>699</v>
      </c>
      <c r="C35" s="36" t="s">
        <v>37</v>
      </c>
      <c r="D35" s="36" t="s">
        <v>560</v>
      </c>
      <c r="E35" s="36" t="s">
        <v>693</v>
      </c>
    </row>
    <row r="36" customFormat="false" ht="15" hidden="false" customHeight="true" outlineLevel="0" collapsed="false">
      <c r="A36" s="36" t="s">
        <v>690</v>
      </c>
      <c r="B36" s="36" t="s">
        <v>700</v>
      </c>
      <c r="C36" s="36" t="s">
        <v>701</v>
      </c>
      <c r="D36" s="36" t="s">
        <v>572</v>
      </c>
      <c r="E36" s="36" t="s">
        <v>696</v>
      </c>
    </row>
    <row r="37" customFormat="false" ht="23.25" hidden="false" customHeight="true" outlineLevel="0" collapsed="false">
      <c r="A37" s="36" t="s">
        <v>690</v>
      </c>
      <c r="B37" s="36" t="s">
        <v>702</v>
      </c>
      <c r="C37" s="36" t="s">
        <v>703</v>
      </c>
      <c r="D37" s="36" t="s">
        <v>582</v>
      </c>
      <c r="E37" s="36" t="s">
        <v>657</v>
      </c>
    </row>
    <row r="38" customFormat="false" ht="15" hidden="false" customHeight="true" outlineLevel="0" collapsed="false">
      <c r="A38" s="36" t="s">
        <v>690</v>
      </c>
      <c r="B38" s="36" t="s">
        <v>704</v>
      </c>
      <c r="C38" s="36" t="s">
        <v>37</v>
      </c>
      <c r="D38" s="36" t="s">
        <v>564</v>
      </c>
      <c r="E38" s="36" t="s">
        <v>693</v>
      </c>
    </row>
    <row r="39" customFormat="false" ht="34.5" hidden="false" customHeight="true" outlineLevel="0" collapsed="false">
      <c r="A39" s="36" t="s">
        <v>690</v>
      </c>
      <c r="B39" s="36" t="s">
        <v>705</v>
      </c>
      <c r="C39" s="36" t="s">
        <v>706</v>
      </c>
      <c r="D39" s="36" t="s">
        <v>583</v>
      </c>
      <c r="E39" s="36" t="s">
        <v>696</v>
      </c>
    </row>
    <row r="40" customFormat="false" ht="23.25" hidden="false" customHeight="true" outlineLevel="0" collapsed="false">
      <c r="A40" s="36" t="s">
        <v>690</v>
      </c>
      <c r="B40" s="36" t="s">
        <v>707</v>
      </c>
      <c r="C40" s="36" t="s">
        <v>692</v>
      </c>
      <c r="D40" s="36" t="s">
        <v>586</v>
      </c>
      <c r="E40" s="36" t="s">
        <v>657</v>
      </c>
    </row>
    <row r="41" customFormat="false" ht="15" hidden="false" customHeight="true" outlineLevel="0" collapsed="false">
      <c r="A41" s="36" t="s">
        <v>690</v>
      </c>
      <c r="B41" s="36" t="s">
        <v>663</v>
      </c>
      <c r="C41" s="36" t="s">
        <v>37</v>
      </c>
      <c r="D41" s="36" t="s">
        <v>560</v>
      </c>
      <c r="E41" s="36" t="s">
        <v>693</v>
      </c>
    </row>
    <row r="42" customFormat="false" ht="15" hidden="false" customHeight="true" outlineLevel="0" collapsed="false">
      <c r="A42" s="36" t="s">
        <v>690</v>
      </c>
      <c r="B42" s="36" t="s">
        <v>708</v>
      </c>
      <c r="C42" s="36" t="s">
        <v>695</v>
      </c>
      <c r="D42" s="36" t="s">
        <v>572</v>
      </c>
      <c r="E42" s="36" t="s">
        <v>696</v>
      </c>
    </row>
    <row r="43" customFormat="false" ht="23.25" hidden="false" customHeight="true" outlineLevel="0" collapsed="false">
      <c r="A43" s="36" t="s">
        <v>690</v>
      </c>
      <c r="B43" s="36" t="s">
        <v>709</v>
      </c>
      <c r="C43" s="36" t="s">
        <v>710</v>
      </c>
      <c r="D43" s="36" t="s">
        <v>711</v>
      </c>
      <c r="E43" s="36" t="s">
        <v>712</v>
      </c>
    </row>
    <row r="44" customFormat="false" ht="15" hidden="false" customHeight="true" outlineLevel="0" collapsed="false">
      <c r="A44" s="36" t="s">
        <v>713</v>
      </c>
      <c r="B44" s="36" t="s">
        <v>691</v>
      </c>
      <c r="C44" s="36" t="s">
        <v>714</v>
      </c>
      <c r="D44" s="36" t="n">
        <f aca="false">COUNTIF(Resumen_GORE!$F$5:$F$20,"Sustantiva")</f>
        <v>7</v>
      </c>
      <c r="E44" s="36" t="s">
        <v>715</v>
      </c>
    </row>
    <row r="45" customFormat="false" ht="15" hidden="false" customHeight="true" outlineLevel="0" collapsed="false">
      <c r="A45" s="36" t="s">
        <v>713</v>
      </c>
      <c r="B45" s="36" t="s">
        <v>655</v>
      </c>
      <c r="C45" s="36" t="s">
        <v>716</v>
      </c>
      <c r="D45" s="36" t="n">
        <f aca="false">COUNTIF(Resumen_GORE!$F$5:$F$20,"Retórica")</f>
        <v>3</v>
      </c>
      <c r="E45" s="36" t="s">
        <v>715</v>
      </c>
    </row>
    <row r="46" customFormat="false" ht="15" hidden="false" customHeight="true" outlineLevel="0" collapsed="false">
      <c r="A46" s="36" t="s">
        <v>713</v>
      </c>
      <c r="B46" s="36" t="s">
        <v>717</v>
      </c>
      <c r="C46" s="36" t="s">
        <v>718</v>
      </c>
      <c r="D46" s="36" t="n">
        <f aca="false">COUNTIF(Resumen_GORE!$F$5:$F$20,"Sin mención*")</f>
        <v>6</v>
      </c>
      <c r="E46" s="36" t="s">
        <v>715</v>
      </c>
    </row>
    <row r="47" customFormat="false" ht="15" hidden="false" customHeight="true" outlineLevel="0" collapsed="false">
      <c r="A47" s="36" t="s">
        <v>713</v>
      </c>
      <c r="B47" s="36" t="s">
        <v>719</v>
      </c>
      <c r="C47" s="36" t="s">
        <v>718</v>
      </c>
      <c r="D47" s="36" t="n">
        <f aca="false">COUNTIF(Resumen_GORE!$F$5:$F$20,"No disponible")</f>
        <v>0</v>
      </c>
      <c r="E47" s="36" t="s">
        <v>715</v>
      </c>
    </row>
    <row r="48" customFormat="false" ht="15" hidden="false" customHeight="true" outlineLevel="0" collapsed="false">
      <c r="A48" s="36" t="s">
        <v>713</v>
      </c>
      <c r="B48" s="36" t="s">
        <v>720</v>
      </c>
      <c r="C48" s="36" t="s">
        <v>721</v>
      </c>
      <c r="D48" s="36" t="n">
        <f aca="false">COUNTIF(Resumen_GORE!$E$5:$E$20,"Sustantiva")</f>
        <v>0</v>
      </c>
      <c r="E48" s="36" t="s">
        <v>715</v>
      </c>
    </row>
    <row r="49" customFormat="false" ht="15" hidden="false" customHeight="true" outlineLevel="0" collapsed="false">
      <c r="A49" s="36" t="s">
        <v>713</v>
      </c>
      <c r="B49" s="36" t="s">
        <v>722</v>
      </c>
      <c r="C49" s="36" t="s">
        <v>723</v>
      </c>
      <c r="D49" s="36" t="n">
        <f aca="false">COUNTIF(Resumen_GORE!$E$5:$E$20,"Retórica")</f>
        <v>1</v>
      </c>
      <c r="E49" s="36" t="s">
        <v>715</v>
      </c>
    </row>
    <row r="50" customFormat="false" ht="15" hidden="false" customHeight="true" outlineLevel="0" collapsed="false">
      <c r="A50" s="36" t="s">
        <v>713</v>
      </c>
      <c r="B50" s="36" t="s">
        <v>724</v>
      </c>
      <c r="C50" s="36" t="s">
        <v>725</v>
      </c>
      <c r="D50" s="36" t="n">
        <f aca="false">COUNTIF(Resumen_GORE!$E$5:$E$20,"Sin mención*")</f>
        <v>13</v>
      </c>
      <c r="E50" s="36" t="s">
        <v>715</v>
      </c>
    </row>
    <row r="51" customFormat="false" ht="15" hidden="false" customHeight="true" outlineLevel="0" collapsed="false">
      <c r="A51" s="36" t="s">
        <v>713</v>
      </c>
      <c r="B51" s="36" t="s">
        <v>726</v>
      </c>
      <c r="C51" s="36" t="s">
        <v>727</v>
      </c>
      <c r="D51" s="36" t="n">
        <f aca="false">COUNTIF(Resumen_GORE!$E$5:$E$20,"No disponible")</f>
        <v>2</v>
      </c>
      <c r="E51" s="36" t="s">
        <v>715</v>
      </c>
    </row>
    <row r="52" customFormat="false" ht="15" hidden="false" customHeight="true" outlineLevel="0" collapsed="false">
      <c r="A52" s="36" t="s">
        <v>713</v>
      </c>
      <c r="B52" s="36" t="s">
        <v>728</v>
      </c>
      <c r="C52" s="36" t="s">
        <v>716</v>
      </c>
      <c r="D52" s="36" t="n">
        <f aca="false">COUNTIF(Resumen_GORE!$C$5:$C$20,"&gt;0")</f>
        <v>2</v>
      </c>
      <c r="E52" s="36" t="s">
        <v>729</v>
      </c>
    </row>
    <row r="53" customFormat="false" ht="15" hidden="false" customHeight="true" outlineLevel="0" collapsed="false">
      <c r="A53" s="36" t="s">
        <v>713</v>
      </c>
      <c r="B53" s="36" t="s">
        <v>730</v>
      </c>
      <c r="C53" s="36" t="s">
        <v>731</v>
      </c>
      <c r="D53" s="36" t="n">
        <f aca="false">COUNTIFS(Resumen_GORE!$C$5:$C$20,0,Resumen_GORE!$B$5:$B$20,"&gt;0")</f>
        <v>11</v>
      </c>
      <c r="E53" s="36" t="s">
        <v>729</v>
      </c>
    </row>
    <row r="54" customFormat="false" ht="15" hidden="false" customHeight="true" outlineLevel="0" collapsed="false">
      <c r="A54" s="36" t="s">
        <v>713</v>
      </c>
      <c r="B54" s="36" t="s">
        <v>732</v>
      </c>
      <c r="C54" s="36" t="s">
        <v>727</v>
      </c>
      <c r="D54" s="36" t="n">
        <f aca="false">COUNTIF(Resumen_GORE!$D$5:$D$20,0)</f>
        <v>3</v>
      </c>
      <c r="E54" s="36" t="s">
        <v>729</v>
      </c>
    </row>
    <row r="55" customFormat="false" ht="15" hidden="false" customHeight="true" outlineLevel="0" collapsed="false">
      <c r="A55" s="36" t="s">
        <v>713</v>
      </c>
      <c r="B55" s="36" t="s">
        <v>733</v>
      </c>
      <c r="C55" s="36" t="s">
        <v>721</v>
      </c>
      <c r="D55" s="36" t="s">
        <v>734</v>
      </c>
      <c r="E55" s="36" t="s">
        <v>735</v>
      </c>
    </row>
    <row r="56" customFormat="false" ht="23.25" hidden="false" customHeight="true" outlineLevel="0" collapsed="false">
      <c r="A56" s="36" t="s">
        <v>713</v>
      </c>
      <c r="B56" s="36" t="s">
        <v>736</v>
      </c>
      <c r="C56" s="36" t="s">
        <v>737</v>
      </c>
      <c r="D56" s="36" t="s">
        <v>41</v>
      </c>
      <c r="E56" s="36" t="s">
        <v>738</v>
      </c>
    </row>
    <row r="57" customFormat="false" ht="15" hidden="false" customHeight="true" outlineLevel="0" collapsed="false">
      <c r="A57" s="36" t="s">
        <v>713</v>
      </c>
      <c r="B57" s="36" t="s">
        <v>739</v>
      </c>
      <c r="C57" s="36" t="s">
        <v>727</v>
      </c>
      <c r="D57" s="36" t="n">
        <f aca="false">COUNTIF(Mapa_17_ODS!D$6:D$21,2)</f>
        <v>4</v>
      </c>
      <c r="E57" s="36" t="s">
        <v>740</v>
      </c>
    </row>
    <row r="58" customFormat="false" ht="15" hidden="false" customHeight="true" outlineLevel="0" collapsed="false">
      <c r="A58" s="36" t="s">
        <v>713</v>
      </c>
      <c r="B58" s="36" t="s">
        <v>741</v>
      </c>
      <c r="C58" s="36" t="s">
        <v>721</v>
      </c>
      <c r="D58" s="36" t="n">
        <f aca="false">COUNTIF(Mapa_17_ODS!D$6:D$21,1)</f>
        <v>0</v>
      </c>
      <c r="E58" s="36" t="s">
        <v>740</v>
      </c>
    </row>
    <row r="59" customFormat="false" ht="15" hidden="false" customHeight="true" outlineLevel="0" collapsed="false">
      <c r="A59" s="36" t="s">
        <v>713</v>
      </c>
      <c r="B59" s="36" t="s">
        <v>742</v>
      </c>
      <c r="C59" s="36" t="s">
        <v>718</v>
      </c>
      <c r="D59" s="36" t="n">
        <f aca="false">COUNTIF(Mapa_17_ODS!E$6:E$21,2)</f>
        <v>5</v>
      </c>
      <c r="E59" s="36" t="s">
        <v>740</v>
      </c>
    </row>
    <row r="60" customFormat="false" ht="15" hidden="false" customHeight="true" outlineLevel="0" collapsed="false">
      <c r="A60" s="36" t="s">
        <v>713</v>
      </c>
      <c r="B60" s="36" t="s">
        <v>743</v>
      </c>
      <c r="C60" s="36" t="s">
        <v>721</v>
      </c>
      <c r="D60" s="36" t="n">
        <f aca="false">COUNTIF(Mapa_17_ODS!E$6:E$21,1)</f>
        <v>0</v>
      </c>
      <c r="E60" s="36" t="s">
        <v>740</v>
      </c>
    </row>
    <row r="61" customFormat="false" ht="15" hidden="false" customHeight="true" outlineLevel="0" collapsed="false">
      <c r="A61" s="36" t="s">
        <v>713</v>
      </c>
      <c r="B61" s="36" t="s">
        <v>744</v>
      </c>
      <c r="C61" s="36" t="s">
        <v>745</v>
      </c>
      <c r="D61" s="36" t="n">
        <f aca="false">COUNTIF(Mapa_17_ODS!F$6:F$21,2)</f>
        <v>6</v>
      </c>
      <c r="E61" s="36" t="s">
        <v>740</v>
      </c>
    </row>
    <row r="62" customFormat="false" ht="15" hidden="false" customHeight="true" outlineLevel="0" collapsed="false">
      <c r="A62" s="36" t="s">
        <v>713</v>
      </c>
      <c r="B62" s="36" t="s">
        <v>746</v>
      </c>
      <c r="C62" s="36" t="s">
        <v>721</v>
      </c>
      <c r="D62" s="36" t="n">
        <f aca="false">COUNTIF(Mapa_17_ODS!F$6:F$21,1)</f>
        <v>0</v>
      </c>
      <c r="E62" s="36" t="s">
        <v>740</v>
      </c>
    </row>
    <row r="63" customFormat="false" ht="15" hidden="false" customHeight="true" outlineLevel="0" collapsed="false">
      <c r="A63" s="36" t="s">
        <v>713</v>
      </c>
      <c r="B63" s="36" t="s">
        <v>747</v>
      </c>
      <c r="C63" s="36" t="s">
        <v>745</v>
      </c>
      <c r="D63" s="36" t="n">
        <f aca="false">COUNTIF(Mapa_17_ODS!G$6:G$21,2)</f>
        <v>6</v>
      </c>
      <c r="E63" s="36" t="s">
        <v>740</v>
      </c>
    </row>
    <row r="64" customFormat="false" ht="15" hidden="false" customHeight="true" outlineLevel="0" collapsed="false">
      <c r="A64" s="36" t="s">
        <v>713</v>
      </c>
      <c r="B64" s="36" t="s">
        <v>748</v>
      </c>
      <c r="C64" s="36" t="s">
        <v>723</v>
      </c>
      <c r="D64" s="36" t="n">
        <f aca="false">COUNTIF(Mapa_17_ODS!G$6:G$21,1)</f>
        <v>1</v>
      </c>
      <c r="E64" s="36" t="s">
        <v>740</v>
      </c>
    </row>
    <row r="65" customFormat="false" ht="15" hidden="false" customHeight="true" outlineLevel="0" collapsed="false">
      <c r="A65" s="36" t="s">
        <v>713</v>
      </c>
      <c r="B65" s="36" t="s">
        <v>702</v>
      </c>
      <c r="C65" s="36" t="s">
        <v>745</v>
      </c>
      <c r="D65" s="36" t="n">
        <f aca="false">COUNTIF(Mapa_17_ODS!H$6:H$21,2)</f>
        <v>6</v>
      </c>
      <c r="E65" s="36" t="s">
        <v>740</v>
      </c>
    </row>
    <row r="66" customFormat="false" ht="15" hidden="false" customHeight="true" outlineLevel="0" collapsed="false">
      <c r="A66" s="36" t="s">
        <v>713</v>
      </c>
      <c r="B66" s="36" t="s">
        <v>704</v>
      </c>
      <c r="C66" s="36" t="s">
        <v>721</v>
      </c>
      <c r="D66" s="36" t="n">
        <f aca="false">COUNTIF(Mapa_17_ODS!H$6:H$21,1)</f>
        <v>0</v>
      </c>
      <c r="E66" s="36" t="s">
        <v>740</v>
      </c>
    </row>
    <row r="67" customFormat="false" ht="15" hidden="false" customHeight="true" outlineLevel="0" collapsed="false">
      <c r="A67" s="36" t="s">
        <v>713</v>
      </c>
      <c r="B67" s="36" t="s">
        <v>749</v>
      </c>
      <c r="C67" s="36" t="s">
        <v>745</v>
      </c>
      <c r="D67" s="36" t="n">
        <f aca="false">COUNTIF(Mapa_17_ODS!I$6:I$21,2)</f>
        <v>6</v>
      </c>
      <c r="E67" s="36" t="s">
        <v>740</v>
      </c>
    </row>
    <row r="68" customFormat="false" ht="15" hidden="false" customHeight="true" outlineLevel="0" collapsed="false">
      <c r="A68" s="36" t="s">
        <v>713</v>
      </c>
      <c r="B68" s="36" t="s">
        <v>750</v>
      </c>
      <c r="C68" s="36" t="s">
        <v>721</v>
      </c>
      <c r="D68" s="36" t="n">
        <f aca="false">COUNTIF(Mapa_17_ODS!I$6:I$21,1)</f>
        <v>0</v>
      </c>
      <c r="E68" s="36" t="s">
        <v>740</v>
      </c>
    </row>
    <row r="69" customFormat="false" ht="15" hidden="false" customHeight="true" outlineLevel="0" collapsed="false">
      <c r="A69" s="36" t="s">
        <v>713</v>
      </c>
      <c r="B69" s="36" t="s">
        <v>707</v>
      </c>
      <c r="C69" s="36" t="s">
        <v>745</v>
      </c>
      <c r="D69" s="36" t="n">
        <f aca="false">COUNTIF(Mapa_17_ODS!J$6:J$21,2)</f>
        <v>6</v>
      </c>
      <c r="E69" s="36" t="s">
        <v>740</v>
      </c>
    </row>
    <row r="70" customFormat="false" ht="15" hidden="false" customHeight="true" outlineLevel="0" collapsed="false">
      <c r="A70" s="36" t="s">
        <v>713</v>
      </c>
      <c r="B70" s="36" t="s">
        <v>663</v>
      </c>
      <c r="C70" s="36" t="s">
        <v>721</v>
      </c>
      <c r="D70" s="36" t="n">
        <f aca="false">COUNTIF(Mapa_17_ODS!J$6:J$21,1)</f>
        <v>0</v>
      </c>
      <c r="E70" s="36" t="s">
        <v>740</v>
      </c>
    </row>
    <row r="71" customFormat="false" ht="15" hidden="false" customHeight="true" outlineLevel="0" collapsed="false">
      <c r="A71" s="36" t="s">
        <v>713</v>
      </c>
      <c r="B71" s="36" t="s">
        <v>751</v>
      </c>
      <c r="C71" s="36" t="s">
        <v>745</v>
      </c>
      <c r="D71" s="36" t="n">
        <f aca="false">COUNTIF(Mapa_17_ODS!K$6:K$21,2)</f>
        <v>6</v>
      </c>
      <c r="E71" s="36" t="s">
        <v>740</v>
      </c>
    </row>
    <row r="72" customFormat="false" ht="15" hidden="false" customHeight="true" outlineLevel="0" collapsed="false">
      <c r="A72" s="36" t="s">
        <v>713</v>
      </c>
      <c r="B72" s="36" t="s">
        <v>752</v>
      </c>
      <c r="C72" s="36" t="s">
        <v>723</v>
      </c>
      <c r="D72" s="36" t="n">
        <f aca="false">COUNTIF(Mapa_17_ODS!K$6:K$21,1)</f>
        <v>1</v>
      </c>
      <c r="E72" s="36" t="s">
        <v>740</v>
      </c>
    </row>
    <row r="73" customFormat="false" ht="15" hidden="false" customHeight="true" outlineLevel="0" collapsed="false">
      <c r="A73" s="36" t="s">
        <v>713</v>
      </c>
      <c r="B73" s="36" t="s">
        <v>753</v>
      </c>
      <c r="C73" s="36" t="s">
        <v>718</v>
      </c>
      <c r="D73" s="36" t="n">
        <f aca="false">COUNTIF(Mapa_17_ODS!L$6:L$21,2)</f>
        <v>5</v>
      </c>
      <c r="E73" s="36" t="s">
        <v>740</v>
      </c>
    </row>
    <row r="74" customFormat="false" ht="15" hidden="false" customHeight="true" outlineLevel="0" collapsed="false">
      <c r="A74" s="36" t="s">
        <v>713</v>
      </c>
      <c r="B74" s="36" t="s">
        <v>754</v>
      </c>
      <c r="C74" s="36" t="s">
        <v>721</v>
      </c>
      <c r="D74" s="36" t="n">
        <f aca="false">COUNTIF(Mapa_17_ODS!L$6:L$21,1)</f>
        <v>0</v>
      </c>
      <c r="E74" s="36" t="s">
        <v>740</v>
      </c>
    </row>
    <row r="75" customFormat="false" ht="15" hidden="false" customHeight="true" outlineLevel="0" collapsed="false">
      <c r="A75" s="36" t="s">
        <v>713</v>
      </c>
      <c r="B75" s="36" t="s">
        <v>755</v>
      </c>
      <c r="C75" s="36" t="s">
        <v>718</v>
      </c>
      <c r="D75" s="36" t="n">
        <f aca="false">COUNTIF(Mapa_17_ODS!M$6:M$21,2)</f>
        <v>5</v>
      </c>
      <c r="E75" s="36" t="s">
        <v>740</v>
      </c>
    </row>
    <row r="76" customFormat="false" ht="15" hidden="false" customHeight="true" outlineLevel="0" collapsed="false">
      <c r="A76" s="36" t="s">
        <v>713</v>
      </c>
      <c r="B76" s="36" t="s">
        <v>756</v>
      </c>
      <c r="C76" s="36" t="s">
        <v>723</v>
      </c>
      <c r="D76" s="36" t="n">
        <f aca="false">COUNTIF(Mapa_17_ODS!M$6:M$21,1)</f>
        <v>1</v>
      </c>
      <c r="E76" s="36" t="s">
        <v>740</v>
      </c>
    </row>
    <row r="77" customFormat="false" ht="15" hidden="false" customHeight="true" outlineLevel="0" collapsed="false">
      <c r="A77" s="36" t="s">
        <v>713</v>
      </c>
      <c r="B77" s="36" t="s">
        <v>757</v>
      </c>
      <c r="C77" s="36" t="s">
        <v>745</v>
      </c>
      <c r="D77" s="36" t="n">
        <f aca="false">COUNTIF(Mapa_17_ODS!N$6:N$21,2)</f>
        <v>6</v>
      </c>
      <c r="E77" s="36" t="s">
        <v>740</v>
      </c>
    </row>
    <row r="78" customFormat="false" ht="15" hidden="false" customHeight="true" outlineLevel="0" collapsed="false">
      <c r="A78" s="36" t="s">
        <v>713</v>
      </c>
      <c r="B78" s="36" t="s">
        <v>758</v>
      </c>
      <c r="C78" s="36" t="s">
        <v>723</v>
      </c>
      <c r="D78" s="36" t="n">
        <f aca="false">COUNTIF(Mapa_17_ODS!N$6:N$21,1)</f>
        <v>1</v>
      </c>
      <c r="E78" s="36" t="s">
        <v>740</v>
      </c>
    </row>
    <row r="79" customFormat="false" ht="15" hidden="false" customHeight="true" outlineLevel="0" collapsed="false">
      <c r="A79" s="36" t="s">
        <v>713</v>
      </c>
      <c r="B79" s="36" t="s">
        <v>759</v>
      </c>
      <c r="C79" s="36" t="s">
        <v>745</v>
      </c>
      <c r="D79" s="36" t="n">
        <f aca="false">COUNTIF(Mapa_17_ODS!O$6:O$21,2)</f>
        <v>6</v>
      </c>
      <c r="E79" s="36" t="s">
        <v>740</v>
      </c>
    </row>
    <row r="80" customFormat="false" ht="15" hidden="false" customHeight="true" outlineLevel="0" collapsed="false">
      <c r="A80" s="36" t="s">
        <v>713</v>
      </c>
      <c r="B80" s="36" t="s">
        <v>668</v>
      </c>
      <c r="C80" s="36" t="s">
        <v>723</v>
      </c>
      <c r="D80" s="36" t="n">
        <f aca="false">COUNTIF(Mapa_17_ODS!O$6:O$21,1)</f>
        <v>1</v>
      </c>
      <c r="E80" s="36" t="s">
        <v>740</v>
      </c>
    </row>
    <row r="81" customFormat="false" ht="15" hidden="false" customHeight="true" outlineLevel="0" collapsed="false">
      <c r="A81" s="36" t="s">
        <v>713</v>
      </c>
      <c r="B81" s="36" t="s">
        <v>760</v>
      </c>
      <c r="C81" s="36" t="s">
        <v>718</v>
      </c>
      <c r="D81" s="36" t="n">
        <f aca="false">COUNTIF(Mapa_17_ODS!P$6:P$21,2)</f>
        <v>5</v>
      </c>
      <c r="E81" s="36" t="s">
        <v>740</v>
      </c>
    </row>
    <row r="82" customFormat="false" ht="15" hidden="false" customHeight="true" outlineLevel="0" collapsed="false">
      <c r="A82" s="36" t="s">
        <v>713</v>
      </c>
      <c r="B82" s="36" t="s">
        <v>761</v>
      </c>
      <c r="C82" s="36" t="s">
        <v>721</v>
      </c>
      <c r="D82" s="36" t="n">
        <f aca="false">COUNTIF(Mapa_17_ODS!P$6:P$21,1)</f>
        <v>0</v>
      </c>
      <c r="E82" s="36" t="s">
        <v>740</v>
      </c>
    </row>
    <row r="83" customFormat="false" ht="15" hidden="false" customHeight="true" outlineLevel="0" collapsed="false">
      <c r="A83" s="36" t="s">
        <v>713</v>
      </c>
      <c r="B83" s="36" t="s">
        <v>762</v>
      </c>
      <c r="C83" s="36" t="s">
        <v>718</v>
      </c>
      <c r="D83" s="36" t="n">
        <f aca="false">COUNTIF(Mapa_17_ODS!Q$6:Q$21,2)</f>
        <v>5</v>
      </c>
      <c r="E83" s="36" t="s">
        <v>740</v>
      </c>
    </row>
    <row r="84" customFormat="false" ht="15" hidden="false" customHeight="true" outlineLevel="0" collapsed="false">
      <c r="A84" s="36" t="s">
        <v>713</v>
      </c>
      <c r="B84" s="36" t="s">
        <v>763</v>
      </c>
      <c r="C84" s="36" t="s">
        <v>721</v>
      </c>
      <c r="D84" s="36" t="n">
        <f aca="false">COUNTIF(Mapa_17_ODS!Q$6:Q$21,1)</f>
        <v>0</v>
      </c>
      <c r="E84" s="36" t="s">
        <v>740</v>
      </c>
    </row>
    <row r="85" customFormat="false" ht="15" hidden="false" customHeight="true" outlineLevel="0" collapsed="false">
      <c r="A85" s="36" t="s">
        <v>713</v>
      </c>
      <c r="B85" s="36" t="s">
        <v>764</v>
      </c>
      <c r="C85" s="36" t="s">
        <v>745</v>
      </c>
      <c r="D85" s="36" t="n">
        <f aca="false">COUNTIF(Mapa_17_ODS!R$6:R$21,2)</f>
        <v>6</v>
      </c>
      <c r="E85" s="36" t="s">
        <v>740</v>
      </c>
    </row>
    <row r="86" customFormat="false" ht="15" hidden="false" customHeight="true" outlineLevel="0" collapsed="false">
      <c r="A86" s="36" t="s">
        <v>713</v>
      </c>
      <c r="B86" s="36" t="s">
        <v>674</v>
      </c>
      <c r="C86" s="36" t="s">
        <v>721</v>
      </c>
      <c r="D86" s="36" t="n">
        <f aca="false">COUNTIF(Mapa_17_ODS!R$6:R$21,1)</f>
        <v>0</v>
      </c>
      <c r="E86" s="36" t="s">
        <v>740</v>
      </c>
    </row>
    <row r="87" customFormat="false" ht="15" hidden="false" customHeight="true" outlineLevel="0" collapsed="false">
      <c r="A87" s="36" t="s">
        <v>713</v>
      </c>
      <c r="B87" s="36" t="s">
        <v>765</v>
      </c>
      <c r="C87" s="36" t="s">
        <v>718</v>
      </c>
      <c r="D87" s="36" t="n">
        <f aca="false">COUNTIF(Mapa_17_ODS!S$6:S$21,2)</f>
        <v>5</v>
      </c>
      <c r="E87" s="36" t="s">
        <v>740</v>
      </c>
    </row>
    <row r="88" customFormat="false" ht="15" hidden="false" customHeight="true" outlineLevel="0" collapsed="false">
      <c r="A88" s="36" t="s">
        <v>713</v>
      </c>
      <c r="B88" s="36" t="s">
        <v>766</v>
      </c>
      <c r="C88" s="36" t="s">
        <v>721</v>
      </c>
      <c r="D88" s="36" t="n">
        <f aca="false">COUNTIF(Mapa_17_ODS!S$6:S$21,1)</f>
        <v>0</v>
      </c>
      <c r="E88" s="36" t="s">
        <v>740</v>
      </c>
    </row>
    <row r="89" customFormat="false" ht="15" hidden="false" customHeight="true" outlineLevel="0" collapsed="false">
      <c r="A89" s="36" t="s">
        <v>713</v>
      </c>
      <c r="B89" s="36" t="s">
        <v>767</v>
      </c>
      <c r="C89" s="36" t="s">
        <v>718</v>
      </c>
      <c r="D89" s="36" t="n">
        <f aca="false">COUNTIF(Mapa_17_ODS!T$6:T$21,2)</f>
        <v>5</v>
      </c>
      <c r="E89" s="36" t="s">
        <v>740</v>
      </c>
    </row>
    <row r="90" customFormat="false" ht="15" hidden="false" customHeight="true" outlineLevel="0" collapsed="false">
      <c r="A90" s="36" t="s">
        <v>713</v>
      </c>
      <c r="B90" s="36" t="s">
        <v>768</v>
      </c>
      <c r="C90" s="36" t="s">
        <v>721</v>
      </c>
      <c r="D90" s="36" t="n">
        <f aca="false">COUNTIF(Mapa_17_ODS!T$6:T$21,1)</f>
        <v>0</v>
      </c>
      <c r="E90" s="36" t="s">
        <v>740</v>
      </c>
    </row>
    <row r="91" customFormat="false" ht="15" hidden="false" customHeight="true" outlineLevel="0" collapsed="false">
      <c r="A91" s="36"/>
      <c r="B91" s="36"/>
      <c r="C91" s="36"/>
      <c r="D91" s="36"/>
      <c r="E91" s="36"/>
    </row>
    <row r="92" customFormat="false" ht="15" hidden="false" customHeight="true" outlineLevel="0" collapsed="false">
      <c r="A92" s="36" t="s">
        <v>769</v>
      </c>
      <c r="B92" s="36"/>
      <c r="C92" s="36"/>
      <c r="D92" s="36"/>
      <c r="E92" s="36"/>
    </row>
    <row r="93" customFormat="false" ht="79.5" hidden="false" customHeight="true" outlineLevel="0" collapsed="false">
      <c r="A93" s="36"/>
      <c r="B93" s="36" t="s">
        <v>770</v>
      </c>
      <c r="C93" s="36"/>
      <c r="D93" s="36"/>
      <c r="E93" s="36"/>
    </row>
    <row r="94" customFormat="false" ht="102" hidden="false" customHeight="true" outlineLevel="0" collapsed="false">
      <c r="A94" s="36"/>
      <c r="B94" s="36" t="s">
        <v>771</v>
      </c>
      <c r="C94" s="36"/>
      <c r="D94" s="36"/>
      <c r="E94" s="36"/>
    </row>
    <row r="95" customFormat="false" ht="90.75" hidden="false" customHeight="true" outlineLevel="0" collapsed="false">
      <c r="A95" s="36"/>
      <c r="B95" s="36" t="s">
        <v>772</v>
      </c>
      <c r="C95" s="36"/>
      <c r="D95" s="36"/>
      <c r="E95" s="36"/>
    </row>
    <row r="96" customFormat="false" ht="90.75" hidden="false" customHeight="true" outlineLevel="0" collapsed="false">
      <c r="A96" s="36"/>
      <c r="B96" s="36" t="s">
        <v>773</v>
      </c>
      <c r="C96" s="36"/>
      <c r="D96" s="36"/>
      <c r="E96" s="3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4" min="3" style="0" width="40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0" t="s">
        <v>774</v>
      </c>
    </row>
    <row r="2" customFormat="false" ht="15" hidden="false" customHeight="false" outlineLevel="0" collapsed="false">
      <c r="A2" s="0" t="s">
        <v>775</v>
      </c>
    </row>
    <row r="4" customFormat="false" ht="15" hidden="false" customHeight="false" outlineLevel="0" collapsed="false">
      <c r="A4" s="0" t="s">
        <v>632</v>
      </c>
      <c r="B4" s="0" t="s">
        <v>633</v>
      </c>
      <c r="C4" s="0" t="s">
        <v>634</v>
      </c>
      <c r="D4" s="0" t="s">
        <v>635</v>
      </c>
      <c r="E4" s="0" t="s">
        <v>636</v>
      </c>
    </row>
    <row r="5" customFormat="false" ht="15" hidden="false" customHeight="false" outlineLevel="0" collapsed="false">
      <c r="A5" s="0" t="s">
        <v>654</v>
      </c>
      <c r="B5" s="0" t="s">
        <v>674</v>
      </c>
      <c r="C5" s="0" t="s">
        <v>676</v>
      </c>
      <c r="D5" s="0" t="s">
        <v>434</v>
      </c>
      <c r="E5" s="0" t="s">
        <v>776</v>
      </c>
    </row>
    <row r="6" customFormat="false" ht="15" hidden="false" customHeight="false" outlineLevel="0" collapsed="false">
      <c r="A6" s="0" t="s">
        <v>654</v>
      </c>
      <c r="B6" s="0" t="s">
        <v>777</v>
      </c>
      <c r="C6" s="0" t="s">
        <v>778</v>
      </c>
      <c r="D6" s="0" t="s">
        <v>435</v>
      </c>
      <c r="E6" s="0" t="s">
        <v>776</v>
      </c>
    </row>
    <row r="7" customFormat="false" ht="15" hidden="false" customHeight="false" outlineLevel="0" collapsed="false">
      <c r="A7" s="0" t="s">
        <v>654</v>
      </c>
      <c r="B7" s="0" t="s">
        <v>779</v>
      </c>
      <c r="C7" s="0" t="s">
        <v>780</v>
      </c>
      <c r="D7" s="0" t="s">
        <v>781</v>
      </c>
      <c r="E7" s="0" t="s">
        <v>782</v>
      </c>
    </row>
    <row r="8" customFormat="false" ht="15" hidden="false" customHeight="false" outlineLevel="0" collapsed="false">
      <c r="A8" s="0" t="s">
        <v>654</v>
      </c>
      <c r="B8" s="0" t="s">
        <v>783</v>
      </c>
      <c r="C8" s="0" t="s">
        <v>780</v>
      </c>
      <c r="D8" s="0" t="s">
        <v>784</v>
      </c>
      <c r="E8" s="0" t="s">
        <v>782</v>
      </c>
    </row>
    <row r="9" customFormat="false" ht="15" hidden="false" customHeight="false" outlineLevel="0" collapsed="false">
      <c r="A9" s="0" t="s">
        <v>654</v>
      </c>
      <c r="B9" s="0" t="s">
        <v>785</v>
      </c>
      <c r="C9" s="0" t="s">
        <v>780</v>
      </c>
      <c r="D9" s="0" t="s">
        <v>734</v>
      </c>
      <c r="E9" s="0" t="s">
        <v>786</v>
      </c>
    </row>
    <row r="10" customFormat="false" ht="15" hidden="false" customHeight="false" outlineLevel="0" collapsed="false">
      <c r="A10" s="0" t="s">
        <v>654</v>
      </c>
      <c r="B10" s="0" t="s">
        <v>787</v>
      </c>
      <c r="C10" s="0" t="s">
        <v>780</v>
      </c>
      <c r="D10" s="0" t="s">
        <v>734</v>
      </c>
      <c r="E10" s="0" t="s">
        <v>786</v>
      </c>
    </row>
    <row r="11" customFormat="false" ht="15" hidden="false" customHeight="false" outlineLevel="0" collapsed="false">
      <c r="A11" s="0" t="s">
        <v>654</v>
      </c>
      <c r="B11" s="0" t="s">
        <v>788</v>
      </c>
      <c r="C11" s="0" t="s">
        <v>780</v>
      </c>
      <c r="D11" s="0" t="s">
        <v>734</v>
      </c>
      <c r="E11" s="0" t="s">
        <v>786</v>
      </c>
    </row>
    <row r="12" customFormat="false" ht="15" hidden="false" customHeight="false" outlineLevel="0" collapsed="false">
      <c r="A12" s="0" t="s">
        <v>654</v>
      </c>
      <c r="B12" s="0" t="s">
        <v>789</v>
      </c>
      <c r="C12" s="0" t="s">
        <v>780</v>
      </c>
      <c r="D12" s="0" t="s">
        <v>734</v>
      </c>
      <c r="E12" s="0" t="s">
        <v>786</v>
      </c>
    </row>
    <row r="13" customFormat="false" ht="15" hidden="false" customHeight="false" outlineLevel="0" collapsed="false">
      <c r="A13" s="0" t="s">
        <v>654</v>
      </c>
      <c r="B13" s="0" t="s">
        <v>790</v>
      </c>
      <c r="C13" s="0" t="s">
        <v>780</v>
      </c>
      <c r="D13" s="0" t="s">
        <v>791</v>
      </c>
      <c r="E13" s="0" t="s">
        <v>786</v>
      </c>
    </row>
    <row r="14" customFormat="false" ht="15" hidden="false" customHeight="false" outlineLevel="0" collapsed="false">
      <c r="A14" s="0" t="s">
        <v>654</v>
      </c>
      <c r="B14" s="0" t="s">
        <v>792</v>
      </c>
      <c r="C14" s="0" t="s">
        <v>780</v>
      </c>
      <c r="D14" s="0" t="s">
        <v>793</v>
      </c>
      <c r="E14" s="0" t="s">
        <v>786</v>
      </c>
    </row>
    <row r="15" customFormat="false" ht="15" hidden="false" customHeight="false" outlineLevel="0" collapsed="false">
      <c r="A15" s="0" t="s">
        <v>654</v>
      </c>
      <c r="B15" s="0" t="s">
        <v>794</v>
      </c>
      <c r="C15" s="0" t="s">
        <v>780</v>
      </c>
      <c r="D15" s="0" t="s">
        <v>734</v>
      </c>
      <c r="E15" s="0" t="s">
        <v>786</v>
      </c>
    </row>
    <row r="16" customFormat="false" ht="15" hidden="false" customHeight="false" outlineLevel="0" collapsed="false">
      <c r="A16" s="0" t="s">
        <v>654</v>
      </c>
      <c r="B16" s="0" t="s">
        <v>677</v>
      </c>
      <c r="C16" s="0" t="s">
        <v>37</v>
      </c>
      <c r="D16" s="0" t="s">
        <v>36</v>
      </c>
      <c r="E16" s="0" t="s">
        <v>795</v>
      </c>
    </row>
    <row r="17" customFormat="false" ht="15" hidden="false" customHeight="false" outlineLevel="0" collapsed="false">
      <c r="A17" s="0" t="s">
        <v>654</v>
      </c>
      <c r="B17" s="0" t="s">
        <v>678</v>
      </c>
      <c r="C17" s="0" t="s">
        <v>796</v>
      </c>
      <c r="D17" s="0" t="s">
        <v>436</v>
      </c>
      <c r="E17" s="0" t="s">
        <v>662</v>
      </c>
    </row>
    <row r="18" customFormat="false" ht="15" hidden="false" customHeight="false" outlineLevel="0" collapsed="false">
      <c r="A18" s="0" t="s">
        <v>654</v>
      </c>
      <c r="B18" s="0" t="s">
        <v>797</v>
      </c>
      <c r="C18" s="0" t="s">
        <v>388</v>
      </c>
      <c r="D18" s="0" t="s">
        <v>437</v>
      </c>
      <c r="E18" s="0" t="s">
        <v>798</v>
      </c>
    </row>
    <row r="19" customFormat="false" ht="15" hidden="false" customHeight="false" outlineLevel="0" collapsed="false">
      <c r="A19" s="0" t="s">
        <v>637</v>
      </c>
      <c r="B19" s="0" t="s">
        <v>644</v>
      </c>
      <c r="C19" s="0" t="s">
        <v>37</v>
      </c>
      <c r="D19" s="0" t="s">
        <v>36</v>
      </c>
      <c r="E19" s="0" t="s">
        <v>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2026-09-25T17:35:17Z</dcterms:created>
  <dc:creator>openpyxl</dc:creator>
  <dc:description/>
  <dc:language>en-US</dc:language>
  <cp:lastModifiedBy/>
  <dcterms:modified xsi:type="dcterms:W3CDTF">2026-10-07T16:05:56Z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